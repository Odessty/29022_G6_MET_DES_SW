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9d03a372108364/Documents/"/>
    </mc:Choice>
  </mc:AlternateContent>
  <xr:revisionPtr revIDLastSave="0" documentId="8_{BC948CC5-EFB3-42D4-8386-DE3EC7B5AE44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60" i="5" a="1"/>
  <c r="D60" i="5" s="1"/>
  <c r="D57" i="5" a="1"/>
  <c r="D57" i="5" s="1"/>
  <c r="D59" i="5" a="1"/>
  <c r="D59" i="5" s="1"/>
  <c r="D58" i="5" a="1"/>
  <c r="D58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5" i="5"/>
  <c r="G20" i="5"/>
  <c r="G42" i="5"/>
  <c r="G82" i="5"/>
  <c r="G95" i="5"/>
  <c r="G2" i="5"/>
  <c r="G23" i="5"/>
  <c r="G94" i="5"/>
  <c r="G99" i="5"/>
  <c r="G92" i="5"/>
  <c r="G64" i="5"/>
  <c r="G79" i="5"/>
  <c r="G38" i="5"/>
  <c r="G9" i="5"/>
  <c r="G93" i="5"/>
  <c r="G17" i="5"/>
  <c r="G10" i="5"/>
  <c r="G88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45" i="5"/>
  <c r="G46" i="5"/>
  <c r="G7" i="5"/>
  <c r="G29" i="5"/>
  <c r="G22" i="5"/>
  <c r="G58" i="5"/>
  <c r="G70" i="5"/>
  <c r="G71" i="5"/>
  <c r="G66" i="5"/>
  <c r="G24" i="5"/>
  <c r="G98" i="5"/>
  <c r="G61" i="5"/>
  <c r="G59" i="5"/>
  <c r="G14" i="5"/>
  <c r="G30" i="5"/>
  <c r="G87" i="5"/>
  <c r="G54" i="5"/>
  <c r="G72" i="5"/>
  <c r="G31" i="5"/>
  <c r="G37" i="5"/>
  <c r="G86" i="5"/>
  <c r="G65" i="5"/>
  <c r="G91" i="5"/>
  <c r="G60" i="5"/>
  <c r="G51" i="5"/>
  <c r="G63" i="5"/>
  <c r="G97" i="5"/>
  <c r="G53" i="5"/>
  <c r="G75" i="5"/>
  <c r="G69" i="5"/>
  <c r="G89" i="5"/>
  <c r="G47" i="5"/>
  <c r="G68" i="5"/>
  <c r="G85" i="5"/>
  <c r="G84" i="5"/>
  <c r="G35" i="5"/>
  <c r="G52" i="5"/>
  <c r="G6" i="5"/>
  <c r="G32" i="5"/>
  <c r="G77" i="5"/>
  <c r="G8" i="5"/>
  <c r="G76" i="5"/>
  <c r="G4" i="5"/>
  <c r="G40" i="5"/>
  <c r="G27" i="5"/>
  <c r="G18" i="5"/>
  <c r="G25" i="5"/>
  <c r="G56" i="5"/>
  <c r="G67" i="5"/>
  <c r="G41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78" i="5"/>
  <c r="N15" i="5"/>
  <c r="M50" i="5"/>
  <c r="E4" i="5"/>
  <c r="N35" i="5"/>
  <c r="M44" i="5"/>
  <c r="E20" i="5"/>
  <c r="E90" i="5"/>
  <c r="N32" i="5"/>
  <c r="E11" i="5"/>
  <c r="M6" i="5"/>
  <c r="M52" i="5"/>
  <c r="M58" i="5"/>
  <c r="M13" i="5"/>
  <c r="E35" i="5"/>
  <c r="E94" i="5"/>
  <c r="E83" i="5"/>
  <c r="M18" i="5"/>
  <c r="N89" i="5"/>
  <c r="N33" i="5"/>
  <c r="M43" i="5"/>
  <c r="N38" i="5"/>
  <c r="N49" i="5"/>
  <c r="N24" i="5"/>
  <c r="E31" i="5"/>
  <c r="N85" i="5"/>
  <c r="E37" i="5"/>
  <c r="N14" i="5"/>
  <c r="N30" i="5"/>
  <c r="M67" i="5"/>
  <c r="N77" i="5"/>
  <c r="N93" i="5"/>
  <c r="N11" i="5"/>
  <c r="E24" i="5"/>
  <c r="N68" i="5"/>
  <c r="N36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49" i="5"/>
  <c r="N67" i="5"/>
  <c r="N80" i="5"/>
  <c r="N44" i="5"/>
  <c r="N4" i="5"/>
  <c r="M101" i="5"/>
  <c r="N41" i="5"/>
  <c r="M9" i="5"/>
  <c r="E61" i="5"/>
  <c r="N46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N48" i="5"/>
  <c r="M15" i="5"/>
  <c r="M74" i="5"/>
  <c r="N17" i="5"/>
  <c r="M25" i="5"/>
  <c r="N27" i="5"/>
  <c r="M22" i="5"/>
  <c r="M12" i="5"/>
  <c r="M46" i="5"/>
  <c r="M57" i="5"/>
  <c r="E44" i="5"/>
  <c r="E9" i="5"/>
  <c r="E65" i="5"/>
  <c r="M32" i="5"/>
  <c r="N81" i="5"/>
  <c r="M29" i="5"/>
  <c r="N9" i="5"/>
  <c r="M8" i="5"/>
  <c r="E101" i="5"/>
  <c r="M76" i="5"/>
  <c r="N95" i="5"/>
  <c r="M38" i="5"/>
  <c r="N29" i="5"/>
  <c r="E66" i="5"/>
  <c r="M54" i="5"/>
  <c r="M30" i="5"/>
  <c r="E85" i="5"/>
  <c r="N101" i="5"/>
  <c r="N52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E59" i="5"/>
  <c r="N90" i="5"/>
  <c r="N37" i="5"/>
  <c r="N26" i="5"/>
  <c r="E5" i="5"/>
  <c r="N8" i="5"/>
  <c r="M5" i="5"/>
  <c r="M92" i="5"/>
  <c r="M80" i="5"/>
  <c r="E6" i="5"/>
  <c r="N21" i="5"/>
  <c r="E60" i="5"/>
  <c r="E16" i="5"/>
  <c r="M60" i="5"/>
  <c r="E58" i="5"/>
  <c r="E81" i="5"/>
  <c r="N51" i="5"/>
  <c r="M63" i="5"/>
  <c r="N87" i="5"/>
  <c r="E22" i="5"/>
  <c r="E51" i="5"/>
  <c r="E80" i="5"/>
  <c r="N62" i="5"/>
  <c r="N76" i="5"/>
  <c r="M51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L9" i="5"/>
  <c r="J97" i="5"/>
  <c r="J29" i="5"/>
  <c r="L94" i="5"/>
  <c r="J13" i="5"/>
  <c r="J52" i="5"/>
  <c r="J55" i="5"/>
  <c r="J44" i="5"/>
  <c r="L23" i="5"/>
  <c r="J28" i="5"/>
  <c r="L70" i="5"/>
  <c r="L32" i="5"/>
  <c r="L75" i="5"/>
  <c r="L89" i="5"/>
  <c r="L17" i="5"/>
  <c r="J27" i="5"/>
  <c r="J15" i="5"/>
  <c r="L49" i="5"/>
  <c r="L99" i="5"/>
  <c r="J98" i="5"/>
  <c r="J61" i="5"/>
  <c r="J24" i="5"/>
  <c r="L15" i="5"/>
  <c r="L95" i="5"/>
  <c r="J33" i="5"/>
  <c r="J18" i="5"/>
  <c r="J82" i="5"/>
  <c r="J21" i="5"/>
  <c r="J78" i="5"/>
  <c r="J11" i="5"/>
  <c r="J25" i="5"/>
  <c r="L63" i="5"/>
  <c r="J59" i="5"/>
  <c r="L2" i="5"/>
  <c r="L91" i="5"/>
  <c r="J12" i="5"/>
  <c r="J69" i="5"/>
  <c r="L72" i="5"/>
  <c r="L71" i="5"/>
  <c r="J90" i="5"/>
  <c r="L10" i="5"/>
  <c r="J49" i="5"/>
  <c r="J22" i="5"/>
  <c r="L98" i="5"/>
  <c r="L3" i="5"/>
  <c r="L38" i="5"/>
  <c r="L20" i="5"/>
  <c r="L92" i="5"/>
  <c r="J93" i="5"/>
  <c r="J8" i="5"/>
  <c r="L57" i="5"/>
  <c r="J72" i="5"/>
  <c r="L66" i="5"/>
  <c r="J45" i="5"/>
  <c r="J9" i="5"/>
  <c r="J86" i="5"/>
  <c r="L78" i="5"/>
  <c r="L28" i="5"/>
  <c r="J48" i="5"/>
  <c r="L36" i="5"/>
  <c r="L39" i="5"/>
  <c r="L80" i="5"/>
  <c r="L62" i="5"/>
  <c r="L87" i="5"/>
  <c r="L37" i="5"/>
  <c r="J51" i="5"/>
  <c r="L51" i="5"/>
  <c r="L52" i="5"/>
  <c r="J81" i="5"/>
  <c r="J36" i="5"/>
  <c r="L84" i="5"/>
  <c r="L4" i="5"/>
  <c r="J88" i="5"/>
  <c r="L55" i="5"/>
  <c r="J19" i="5"/>
  <c r="L25" i="5"/>
  <c r="J95" i="5"/>
  <c r="J43" i="5"/>
  <c r="J7" i="5"/>
  <c r="J31" i="5"/>
  <c r="L24" i="5"/>
  <c r="J53" i="5"/>
  <c r="L21" i="5"/>
  <c r="J17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J68" i="5"/>
  <c r="L53" i="5"/>
  <c r="J77" i="5"/>
  <c r="L12" i="5"/>
  <c r="J63" i="5"/>
  <c r="L101" i="5"/>
  <c r="L64" i="5"/>
  <c r="J89" i="5"/>
  <c r="J96" i="5"/>
  <c r="L68" i="5"/>
  <c r="J57" i="5"/>
  <c r="L44" i="5"/>
  <c r="L65" i="5"/>
  <c r="J76" i="5"/>
  <c r="J34" i="5"/>
  <c r="J58" i="5"/>
  <c r="J65" i="5"/>
  <c r="L29" i="5"/>
  <c r="J62" i="5"/>
  <c r="J101" i="5"/>
  <c r="L69" i="5"/>
  <c r="J66" i="5"/>
  <c r="L100" i="5"/>
  <c r="J60" i="5"/>
  <c r="J23" i="5"/>
  <c r="J100" i="5"/>
  <c r="J46" i="5"/>
  <c r="J99" i="5"/>
  <c r="L76" i="5"/>
  <c r="L83" i="5"/>
  <c r="L40" i="5"/>
  <c r="L61" i="5"/>
  <c r="J4" i="5"/>
  <c r="L35" i="5"/>
  <c r="L86" i="5"/>
  <c r="L90" i="5"/>
  <c r="J20" i="5"/>
  <c r="L41" i="5"/>
  <c r="J83" i="5"/>
  <c r="L7" i="5"/>
  <c r="L13" i="5"/>
  <c r="J37" i="5"/>
  <c r="J91" i="5"/>
  <c r="L85" i="5"/>
  <c r="J71" i="5"/>
  <c r="L46" i="5"/>
  <c r="J56" i="5"/>
  <c r="J80" i="5"/>
  <c r="L8" i="5"/>
  <c r="L82" i="5"/>
  <c r="J5" i="5"/>
  <c r="J41" i="5"/>
  <c r="J94" i="5"/>
  <c r="L93" i="5"/>
  <c r="J79" i="5"/>
  <c r="J35" i="5"/>
  <c r="L7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60" i="5"/>
  <c r="K87" i="5"/>
  <c r="K8" i="5"/>
  <c r="K7" i="5"/>
  <c r="K31" i="5"/>
  <c r="K66" i="5"/>
  <c r="K10" i="5"/>
  <c r="K92" i="5"/>
  <c r="K73" i="5"/>
  <c r="K71" i="5"/>
  <c r="K85" i="5"/>
  <c r="K11" i="5"/>
  <c r="K93" i="5"/>
  <c r="K44" i="5"/>
  <c r="K46" i="5"/>
  <c r="K67" i="5"/>
  <c r="K77" i="5"/>
  <c r="K64" i="5"/>
  <c r="K12" i="5"/>
  <c r="K14" i="5"/>
  <c r="K56" i="5"/>
  <c r="K96" i="5"/>
  <c r="K16" i="5"/>
  <c r="K80" i="5"/>
  <c r="K18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3" i="5"/>
  <c r="K94" i="5"/>
  <c r="K39" i="5"/>
  <c r="K57" i="5"/>
  <c r="K41" i="5"/>
  <c r="K15" i="5"/>
  <c r="K4" i="5"/>
  <c r="K81" i="5"/>
  <c r="K50" i="5"/>
  <c r="K25" i="5"/>
  <c r="K84" i="5"/>
  <c r="K30" i="5"/>
  <c r="K32" i="5"/>
  <c r="K26" i="5"/>
  <c r="K28" i="5"/>
  <c r="K74" i="5"/>
  <c r="K5" i="5"/>
  <c r="K58" i="5"/>
  <c r="K78" i="5"/>
  <c r="K100" i="5"/>
  <c r="K79" i="5"/>
  <c r="K72" i="5"/>
  <c r="K22" i="5"/>
  <c r="K89" i="5"/>
  <c r="K97" i="5"/>
  <c r="K36" i="5"/>
  <c r="K35" i="5"/>
  <c r="K88" i="5"/>
  <c r="K34" i="5"/>
  <c r="K51" i="5"/>
  <c r="K76" i="5"/>
  <c r="K48" i="5"/>
  <c r="K23" i="5"/>
  <c r="K17" i="5"/>
  <c r="K45" i="5"/>
  <c r="K99" i="5"/>
  <c r="K55" i="5"/>
  <c r="K90" i="5"/>
  <c r="K24" i="5"/>
  <c r="K98" i="5"/>
  <c r="K9" i="5"/>
  <c r="K75" i="5"/>
  <c r="K27" i="5"/>
  <c r="K82" i="5"/>
  <c r="K59" i="5"/>
  <c r="K13" i="5"/>
  <c r="K91" i="5"/>
  <c r="K2" i="5"/>
  <c r="K4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4" i="5"/>
  <c r="I80" i="5"/>
  <c r="I83" i="5"/>
  <c r="I73" i="5"/>
  <c r="I62" i="5"/>
  <c r="I64" i="5"/>
  <c r="I38" i="5"/>
  <c r="I30" i="5"/>
  <c r="I91" i="5"/>
  <c r="I11" i="5"/>
  <c r="I59" i="5"/>
  <c r="I12" i="5"/>
  <c r="I58" i="5"/>
  <c r="I33" i="5"/>
  <c r="I45" i="5"/>
  <c r="I4" i="5"/>
  <c r="I56" i="5"/>
  <c r="I92" i="5"/>
  <c r="I61" i="5"/>
  <c r="I87" i="5"/>
  <c r="I48" i="5"/>
  <c r="I65" i="5"/>
  <c r="I42" i="5"/>
  <c r="I34" i="5"/>
  <c r="I9" i="5"/>
  <c r="I26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57" i="5"/>
  <c r="I89" i="5"/>
  <c r="I90" i="5"/>
  <c r="I69" i="5"/>
  <c r="I98" i="5"/>
  <c r="I7" i="5"/>
  <c r="I93" i="5"/>
  <c r="I8" i="5"/>
  <c r="I39" i="5"/>
  <c r="I25" i="5"/>
  <c r="I13" i="5"/>
  <c r="I72" i="5"/>
  <c r="I75" i="5"/>
  <c r="I97" i="5"/>
  <c r="I96" i="5"/>
  <c r="I50" i="5"/>
  <c r="I52" i="5"/>
  <c r="I43" i="5"/>
  <c r="I37" i="5"/>
  <c r="I86" i="5"/>
  <c r="I2" i="5"/>
  <c r="I31" i="5"/>
  <c r="I101" i="5"/>
  <c r="I54" i="5"/>
  <c r="I99" i="5"/>
  <c r="I40" i="5"/>
  <c r="I66" i="5"/>
  <c r="I5" i="5"/>
  <c r="I46" i="5"/>
  <c r="I53" i="5"/>
  <c r="I15" i="5"/>
  <c r="I95" i="5"/>
  <c r="I21" i="5"/>
  <c r="I88" i="5"/>
  <c r="I68" i="5"/>
  <c r="I47" i="5"/>
  <c r="I74" i="5"/>
  <c r="I6" i="5"/>
  <c r="I84" i="5"/>
  <c r="I81" i="5"/>
  <c r="I55" i="5"/>
  <c r="I28" i="5"/>
  <c r="I49" i="5"/>
  <c r="I22" i="5"/>
  <c r="I10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80" i="5"/>
  <c r="F73" i="5"/>
  <c r="F90" i="5"/>
  <c r="F62" i="5"/>
  <c r="F6" i="5"/>
  <c r="F17" i="5"/>
  <c r="F82" i="5"/>
  <c r="F54" i="5"/>
  <c r="F74" i="5"/>
  <c r="F78" i="5"/>
  <c r="F68" i="5"/>
  <c r="F9" i="5"/>
  <c r="F33" i="5"/>
  <c r="F85" i="5"/>
  <c r="F58" i="5"/>
  <c r="F95" i="5"/>
  <c r="F43" i="5"/>
  <c r="F14" i="5"/>
  <c r="F56" i="5"/>
  <c r="F4" i="5"/>
  <c r="F8" i="5"/>
  <c r="F37" i="5"/>
  <c r="F41" i="5"/>
  <c r="F3" i="5"/>
  <c r="F13" i="5"/>
  <c r="F69" i="5"/>
  <c r="F71" i="5"/>
  <c r="F24" i="5"/>
  <c r="F18" i="5"/>
  <c r="F83" i="5"/>
  <c r="F20" i="5"/>
  <c r="F5" i="5"/>
  <c r="F88" i="5"/>
  <c r="F15" i="5"/>
  <c r="F22" i="5"/>
  <c r="F77" i="5"/>
  <c r="F98" i="5"/>
  <c r="F47" i="5"/>
  <c r="F11" i="5"/>
  <c r="F27" i="5"/>
  <c r="F48" i="5"/>
  <c r="F40" i="5"/>
  <c r="F84" i="5"/>
  <c r="F91" i="5"/>
  <c r="F29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92" i="5"/>
  <c r="F76" i="5"/>
  <c r="F42" i="5"/>
  <c r="F46" i="5"/>
  <c r="F101" i="5"/>
  <c r="F19" i="5"/>
  <c r="F44" i="5"/>
  <c r="F38" i="5"/>
  <c r="F16" i="5"/>
  <c r="F39" i="5"/>
  <c r="F79" i="5"/>
  <c r="F67" i="5"/>
  <c r="F30" i="5"/>
  <c r="F2" i="5"/>
  <c r="F26" i="5"/>
  <c r="F70" i="5"/>
  <c r="F97" i="5"/>
  <c r="F72" i="5"/>
  <c r="F66" i="5"/>
  <c r="F89" i="5"/>
  <c r="F51" i="5"/>
  <c r="F34" i="5"/>
  <c r="F36" i="5"/>
  <c r="F65" i="5"/>
  <c r="F12" i="5"/>
  <c r="F87" i="5"/>
  <c r="F45" i="5"/>
  <c r="F49" i="5"/>
  <c r="F81" i="5"/>
  <c r="F57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10" i="5"/>
  <c r="H49" i="5"/>
  <c r="H35" i="5"/>
  <c r="H61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9" i="5"/>
  <c r="H52" i="5"/>
  <c r="H63" i="5"/>
  <c r="H82" i="5"/>
  <c r="H96" i="5"/>
  <c r="H22" i="5"/>
  <c r="H59" i="5"/>
  <c r="H99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73" i="5"/>
  <c r="H79" i="5"/>
  <c r="H50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39" i="5"/>
  <c r="H76" i="5"/>
  <c r="H45" i="5"/>
  <c r="H27" i="5"/>
  <c r="H70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<sst xmlns="http://schemas.openxmlformats.org/spreadsheetml/2006/main" count="345" uniqueCount="246">
  <si>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</si>
  <si>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</si>
  <si>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</si>
  <si>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</si>
  <si>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</si>
  <si>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</si>
  <si>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</si>
  <si>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</si>
  <si>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</si>
  <si>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</si>
  <si>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</si>
  <si>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</si>
  <si>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</si>
  <si>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</si>
  <si>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</si>
  <si>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</si>
  <si>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</si>
  <si>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</si>
  <si>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</si>
  <si>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</si>
  <si>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</si>
  <si>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</si>
  <si>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</si>
  <si>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</si>
  <si>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</si>
  <si>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</si>
  <si>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</si>
  <si>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</si>
  <si>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</si>
  <si>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</si>
  <si>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</si>
  <si>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</si>
  <si>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</si>
  <si>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</si>
  <si>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</si>
  <si>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</si>
  <si>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</si>
  <si>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</si>
  <si>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</si>
  <si>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</si>
  <si>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</si>
  <si>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</si>
  <si>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</si>
  <si>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</si>
  <si>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</si>
  <si>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</si>
  <si>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</si>
  <si>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</si>
  <si>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</si>
  <si>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</si>
  <si>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</si>
  <si>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</si>
  <si>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</si>
  <si>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</si>
  <si>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</si>
  <si>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</si>
  <si>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</si>
  <si>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</si>
  <si>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</si>
  <si>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</si>
  <si>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</si>
  <si>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</si>
  <si>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</si>
  <si>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</si>
  <si>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</si>
  <si>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</si>
  <si>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</si>
  <si>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</si>
  <si>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</si>
  <si>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</si>
  <si>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</si>
  <si>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</si>
  <si>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</si>
  <si>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</si>
  <si>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</si>
  <si>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</si>
  <si>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</si>
  <si>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</si>
  <si>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</si>
  <si>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</si>
  <si>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</si>
  <si>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</si>
  <si>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</si>
  <si>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</si>
  <si>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</si>
  <si>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</si>
  <si>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</si>
  <si>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</si>
  <si>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</si>
  <si>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</si>
  <si>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</si>
  <si>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</si>
  <si>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</si>
  <si>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</si>
  <si>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</si>
  <si>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</si>
  <si>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</si>
  <si>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</si>
  <si>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</si>
  <si>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</si>
  <si>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</si>
  <si>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</si>
  <si>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</si>
  <si>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</si>
  <si>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</si>
  <si>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</si>
  <si>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</si>
  <si>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</si>
  <si>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</si>
  <si>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</si>
  <si>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</si>
  <si>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</si>
  <si>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</si>
  <si>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</si>
  <si>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</si>
  <si>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</si>
  <si>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</si>
  <si>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</si>
  <si>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</si>
  <si>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</si>
  <si>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</si>
  <si>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</si>
  <si>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</si>
  <si>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</si>
  <si>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</si>
  <si>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</si>
  <si>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</si>
  <si>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</si>
  <si>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</si>
  <si>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</si>
  <si>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</si>
  <si>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</si>
  <si>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</si>
  <si>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</si>
  <si>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</si>
  <si>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</si>
  <si>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</si>
  <si>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</si>
  <si>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</si>
  <si>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</si>
  <si>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</si>
  <si>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</si>
  <si>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</si>
  <si>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</si>
  <si>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</si>
  <si>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</si>
  <si>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</si>
  <si>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</si>
  <si>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</si>
  <si>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</si>
  <si>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</si>
  <si>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</si>
  <si>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</si>
  <si>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</si>
  <si>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</si>
  <si>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</si>
  <si>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</si>
  <si>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</si>
  <si>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</si>
  <si>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</si>
  <si>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</si>
  <si>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</si>
  <si>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</si>
  <si>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</si>
  <si>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</si>
  <si>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</si>
  <si>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</si>
  <si>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</si>
  <si>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</si>
  <si>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</si>
  <si>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</si>
  <si>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</si>
  <si>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</si>
  <si>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</si>
  <si>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</si>
  <si>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</si>
  <si>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</si>
  <si>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</si>
  <si>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</si>
  <si>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</si>
  <si>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</si>
  <si>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</si>
  <si>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</si>
  <si>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</si>
  <si>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</si>
  <si>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</si>
  <si>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</si>
  <si>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</si>
  <si>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</si>
  <si>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</si>
  <si>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</si>
  <si>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</si>
  <si>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</si>
  <si>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</si>
  <si>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</si>
  <si>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</si>
  <si>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</si>
  <si>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</si>
  <si>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</si>
  <si>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</si>
  <si>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</si>
  <si>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</si>
  <si>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</si>
  <si>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</si>
  <si>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</si>
  <si>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</si>
  <si>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</si>
  <si>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</si>
  <si>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</si>
  <si>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</si>
  <si>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</si>
  <si>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</si>
  <si>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</si>
  <si>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</si>
  <si>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</si>
  <si>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</si>
  <si>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</si>
  <si>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</si>
  <si>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Objetivos</t>
  </si>
  <si>
    <t>Alcance</t>
  </si>
  <si>
    <t>Ing. Jenny Ruiz</t>
  </si>
  <si>
    <t>Benjamín López</t>
  </si>
  <si>
    <t>Nayely Simbaña</t>
  </si>
  <si>
    <t>Sebastian Medina</t>
  </si>
  <si>
    <t>Elaboración de introducción</t>
  </si>
  <si>
    <t>Plnateamiento del problema</t>
  </si>
  <si>
    <t>Metodología</t>
  </si>
  <si>
    <t xml:space="preserve">Resultados Esperados </t>
  </si>
  <si>
    <t>Viabilidad</t>
  </si>
  <si>
    <t>Ideas a defender</t>
  </si>
  <si>
    <t>Elaboración de FODA</t>
  </si>
  <si>
    <t>Elaboración lista de interesados</t>
  </si>
  <si>
    <t>Elaboración preguntas entrevista</t>
  </si>
  <si>
    <t>Reunión con clientes</t>
  </si>
  <si>
    <t>Elaboración de Historias de Usuario</t>
  </si>
  <si>
    <t>Segunda Entrevista(Aseveración de requisitos)</t>
  </si>
  <si>
    <t>REQ001 ACCESO AL SISTEMA</t>
  </si>
  <si>
    <t>REQ002 CARGA DE ARCHIVOS</t>
  </si>
  <si>
    <t>REQ003 CONSULTA/BÚSQUEDA</t>
  </si>
  <si>
    <t>REQ004 GENERACIÓN DE INFORMES</t>
  </si>
  <si>
    <t>Elaboración caja blanca/negra</t>
  </si>
  <si>
    <t>Elaboración presentación sprint 1</t>
  </si>
  <si>
    <t>REQ005 DETECCIÓN DE DATOS</t>
  </si>
  <si>
    <t>REQ006 RECUPERACIÓN DE CONTRASEÑAS</t>
  </si>
  <si>
    <t>Realización de casos de uso</t>
  </si>
  <si>
    <t>Elaboración del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</si>
</sst>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95" activePane="bottomLeft" state="frozen"/>
      <selection pane="bottomLeft" activeCell="S98" sqref="S98:T98"/>
    </sheetView>
  </sheetViews>
  <sheetFormatPr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25)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(1 de 25)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25)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(24 de 25)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25)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25)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25)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25)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25)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25)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22: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REQ006 RECUPERACIÓN DE CONTRASEÑAS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46016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46021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46021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6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Nayely Simbaña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Elaboración del Kanban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46036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46036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46036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Realización de casos de uso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46031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46034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46034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Nayely Simbaña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21: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REQ005 DETECCIÓN DE DATOS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46016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46021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46021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6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Benjamín López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20: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Elaboración presentación sprint 1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45999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46001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46001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Nayely Simbaña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19: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Elaboración caja blanca/negra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45994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45999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45999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6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18: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REQ004 GENERACIÓN DE INFORMES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45987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45994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45994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Nayely Simbaña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17: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REQ003 CONSULTA/BÚSQUEDA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45987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45994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45994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Benjamín López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16: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 CARGA DE ARCHIVOS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45987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45994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45994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Benjamín López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15: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REQ001 ACCESO AL SISTEMA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45987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45994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45994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8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14: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Segunda Entrevista(Aseveración de requisitos)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45973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45973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45973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Nayely Simbaña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13: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Elaboración de Historias de Usuario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45957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45971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45971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15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Nayely Simbaña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12: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Reunión con clientes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45952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45952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45952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Sebastian Medina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11: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Elaboración preguntas entrevista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45952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45954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45954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Sebastian Medina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10: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Elaboración lista de interesados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45952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45954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45954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Sebastian Medina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9: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Elaboración de FODA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45952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45954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45954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Sebastian Medina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8: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Viabilidad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45949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45961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45961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13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Benjamín López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7: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Resultados Esperados 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45949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45961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45961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13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Benjamín López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6: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Ideas a defender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45949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45961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45961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13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Sebastian Medina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Metodología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45949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45961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45961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13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Sebastian Medina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Alcance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45949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45961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45961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13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Sebastian Medina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Objetivos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45949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45961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45961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13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G31" sqref="G31"/>
    </sheetView>
  </sheetViews>
  <sheetFormatPr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8</v>
      </c>
      <c r="C2" s="104" t="s">
        <v>224</v>
      </c>
      <c r="D2" s="102"/>
      <c r="E2" s="103">
        <v>45949</v>
      </c>
      <c r="F2" s="93">
        <v>45961</v>
      </c>
      <c r="G2" s="93">
        <v>45961</v>
      </c>
      <c r="H2" s="43" t="str">
        <f>IF(Datos!$G2&gt;0,Datos!$G2-Datos!$E2+1 &amp; " " &amp; Idiomas!$A$29,"")</f>
        <v>13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3</v>
      </c>
      <c r="C3" s="3" t="s">
        <v>225</v>
      </c>
      <c r="D3" s="104"/>
      <c r="E3" s="105">
        <v>45949</v>
      </c>
      <c r="F3" s="96">
        <v>45961</v>
      </c>
      <c r="G3" s="96">
        <v>45961</v>
      </c>
      <c r="H3" s="45" t="str">
        <f>IF(Datos!$G3&gt;0,Datos!$G3-Datos!$E3+1 &amp; " " &amp; Idiomas!$A$29,"")</f>
        <v>13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218</v>
      </c>
      <c r="D4" s="92"/>
      <c r="E4" s="103">
        <v>45949</v>
      </c>
      <c r="F4" s="93">
        <v>45961</v>
      </c>
      <c r="G4" s="93">
        <v>45961</v>
      </c>
      <c r="H4" s="43" t="str">
        <f>IF(Datos!$G4&gt;0,Datos!$G4-Datos!$E4+1 &amp; " " &amp; Idiomas!$A$29,"")</f>
        <v>13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/>
      <c r="E5" s="96">
        <v>45949</v>
      </c>
      <c r="F5" s="96">
        <v>45961</v>
      </c>
      <c r="G5" s="96">
        <v>45961</v>
      </c>
      <c r="H5" s="45" t="str">
        <f>IF(Datos!$G5&gt;0,Datos!$G5-Datos!$E5+1 &amp; " " &amp; Idiomas!$A$29,"")</f>
        <v>13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226</v>
      </c>
      <c r="D6" s="102"/>
      <c r="E6" s="93">
        <v>45949</v>
      </c>
      <c r="F6" s="93">
        <v>45961</v>
      </c>
      <c r="G6" s="93">
        <v>45961</v>
      </c>
      <c r="H6" s="43" t="str">
        <f>IF(Datos!$G6&gt;0,Datos!$G6-Datos!$E6+1 &amp; " " &amp; Idiomas!$A$29,"")</f>
        <v>13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229</v>
      </c>
      <c r="D7" s="95"/>
      <c r="E7" s="96">
        <v>45949</v>
      </c>
      <c r="F7" s="96">
        <v>45961</v>
      </c>
      <c r="G7" s="96">
        <v>45961</v>
      </c>
      <c r="H7" s="45" t="str">
        <f>IF(Datos!$G7&gt;0,Datos!$G7-Datos!$E7+1 &amp; " " &amp; Idiomas!$A$29,"")</f>
        <v>13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9" t="s">
        <v>227</v>
      </c>
      <c r="D8" s="102"/>
      <c r="E8" s="110">
        <v>45949</v>
      </c>
      <c r="F8" s="93">
        <v>45961</v>
      </c>
      <c r="G8" s="110">
        <v>45961</v>
      </c>
      <c r="H8" s="43" t="str">
        <f>IF(Datos!$G8&gt;0,Datos!$G8-Datos!$E8+1 &amp; " " &amp; Idiomas!$A$29,"")</f>
        <v>13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228</v>
      </c>
      <c r="D9" s="95"/>
      <c r="E9" s="96">
        <v>45949</v>
      </c>
      <c r="F9" s="96">
        <v>45961</v>
      </c>
      <c r="G9" s="96">
        <v>45961</v>
      </c>
      <c r="H9" s="45" t="str">
        <f>IF(Datos!$G9&gt;0,Datos!$G9-Datos!$E9+1 &amp; " " &amp; Idiomas!$A$29,"")</f>
        <v>13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8</v>
      </c>
      <c r="C10" s="107" t="s">
        <v>230</v>
      </c>
      <c r="D10" s="92"/>
      <c r="E10" s="93">
        <v>45952</v>
      </c>
      <c r="F10" s="93">
        <v>45954</v>
      </c>
      <c r="G10" s="93">
        <v>45954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6</v>
      </c>
      <c r="C11" s="106" t="s">
        <v>231</v>
      </c>
      <c r="D11" s="95"/>
      <c r="E11" s="97">
        <v>45952</v>
      </c>
      <c r="F11" s="96">
        <v>45954</v>
      </c>
      <c r="G11" s="96">
        <v>45954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5</v>
      </c>
      <c r="B12" s="92" t="s">
        <v>6</v>
      </c>
      <c r="C12" s="107" t="s">
        <v>232</v>
      </c>
      <c r="D12" s="102"/>
      <c r="E12" s="98">
        <v>45952</v>
      </c>
      <c r="F12" s="93">
        <v>45954</v>
      </c>
      <c r="G12" s="93">
        <v>45954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 t="s">
        <v>5</v>
      </c>
      <c r="B13" s="95" t="s">
        <v>6</v>
      </c>
      <c r="C13" s="108" t="s">
        <v>233</v>
      </c>
      <c r="D13" s="104"/>
      <c r="E13" s="96">
        <v>45952</v>
      </c>
      <c r="F13" s="96">
        <v>45952</v>
      </c>
      <c r="G13" s="96">
        <v>45952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223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5</v>
      </c>
      <c r="B14" s="92" t="s">
        <v>6</v>
      </c>
      <c r="C14" s="107" t="s">
        <v>234</v>
      </c>
      <c r="D14" s="102"/>
      <c r="E14" s="110">
        <v>45957</v>
      </c>
      <c r="F14" s="93">
        <v>45971</v>
      </c>
      <c r="G14" s="110">
        <v>45971</v>
      </c>
      <c r="H14" s="43" t="str">
        <f>IF(Datos!$G14&gt;0,Datos!$G14-Datos!$E14+1 &amp; " " &amp; Idiomas!$A$29,"")</f>
        <v>15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6</v>
      </c>
      <c r="C15" s="106" t="s">
        <v>235</v>
      </c>
      <c r="D15" s="95"/>
      <c r="E15" s="111">
        <v>45973</v>
      </c>
      <c r="F15" s="96">
        <v>45973</v>
      </c>
      <c r="G15" s="111">
        <v>45973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5</v>
      </c>
      <c r="B16" s="92" t="s">
        <v>3</v>
      </c>
      <c r="C16" s="112" t="s">
        <v>236</v>
      </c>
      <c r="D16" s="102"/>
      <c r="E16" s="110">
        <v>45987</v>
      </c>
      <c r="F16" s="110">
        <v>45994</v>
      </c>
      <c r="G16" s="110">
        <v>45994</v>
      </c>
      <c r="H16" s="43" t="str">
        <f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223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3</v>
      </c>
      <c r="C17" s="106" t="s">
        <v>237</v>
      </c>
      <c r="D17" s="104"/>
      <c r="E17" s="111">
        <v>45987</v>
      </c>
      <c r="F17" s="96">
        <v>45994</v>
      </c>
      <c r="G17" s="96">
        <v>45994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109" t="s">
        <v>238</v>
      </c>
      <c r="D18" s="92"/>
      <c r="E18" s="110">
        <v>45987</v>
      </c>
      <c r="F18" s="110">
        <v>45994</v>
      </c>
      <c r="G18" s="110">
        <v>45994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221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106" t="s">
        <v>239</v>
      </c>
      <c r="D19" s="95"/>
      <c r="E19" s="111">
        <v>45987</v>
      </c>
      <c r="F19" s="111">
        <v>45994</v>
      </c>
      <c r="G19" s="111">
        <v>45994</v>
      </c>
      <c r="H19" s="45" t="str">
        <f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222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109" t="s">
        <v>240</v>
      </c>
      <c r="D20" s="92"/>
      <c r="E20" s="110">
        <v>45994</v>
      </c>
      <c r="F20" s="110">
        <v>45999</v>
      </c>
      <c r="G20" s="110">
        <v>45999</v>
      </c>
      <c r="H20" s="43" t="str">
        <f>IF(Datos!$G20&gt;0,Datos!$G20-Datos!$E20+1 &amp; " " &amp; Idiomas!$A$29,"")</f>
        <v>6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223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5</v>
      </c>
      <c r="B21" s="95" t="s">
        <v>6</v>
      </c>
      <c r="C21" s="108" t="s">
        <v>241</v>
      </c>
      <c r="D21" s="104"/>
      <c r="E21" s="111">
        <v>45999</v>
      </c>
      <c r="F21" s="111">
        <v>46001</v>
      </c>
      <c r="G21" s="111">
        <v>46001</v>
      </c>
      <c r="H21" s="45" t="str">
        <f>IF(Datos!$G21&gt;0,Datos!$G21-Datos!$E21+1 &amp; " " &amp; Idiomas!$A$29,"")</f>
        <v>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222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9" t="s">
        <v>242</v>
      </c>
      <c r="D22" s="92"/>
      <c r="E22" s="110">
        <v>46016</v>
      </c>
      <c r="F22" s="110">
        <v>46021</v>
      </c>
      <c r="G22" s="110">
        <v>46021</v>
      </c>
      <c r="H22" s="43" t="str">
        <f>IF(Datos!$G22&gt;0,Datos!$G22-Datos!$E22+1 &amp; " " &amp; Idiomas!$A$29,"")</f>
        <v>6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7</v>
      </c>
      <c r="B23" s="95" t="s">
        <v>3</v>
      </c>
      <c r="C23" s="106" t="s">
        <v>243</v>
      </c>
      <c r="D23" s="95"/>
      <c r="E23" s="111">
        <v>46016</v>
      </c>
      <c r="F23" s="111">
        <v>46021</v>
      </c>
      <c r="G23" s="111">
        <v>46021</v>
      </c>
      <c r="H23" s="45" t="str">
        <f>IF(Datos!$G23&gt;0,Datos!$G23-Datos!$E23+1 &amp; " " &amp; Idiomas!$A$29,"")</f>
        <v>6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222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9" t="s">
        <v>244</v>
      </c>
      <c r="D24" s="92"/>
      <c r="E24" s="110">
        <v>46031</v>
      </c>
      <c r="F24" s="110">
        <v>46034</v>
      </c>
      <c r="G24" s="110">
        <v>46034</v>
      </c>
      <c r="H24" s="43" t="str">
        <f>IF(Datos!$G24&gt;0,Datos!$G24-Datos!$E24+1 &amp; " " &amp; Idiomas!$A$29,"")</f>
        <v>4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3</v>
      </c>
      <c r="C25" s="106" t="s">
        <v>245</v>
      </c>
      <c r="D25" s="95"/>
      <c r="E25" s="111">
        <v>46036</v>
      </c>
      <c r="F25" s="111">
        <v>46036</v>
      </c>
      <c r="G25" s="111">
        <v>46036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223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2" sqref="F12"/>
    </sheetView>
  </sheetViews>
  <sheetFormatPr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221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222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223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/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R-195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R-195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R195:R202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R-186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R-186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R186:R193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R-177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R-177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R177:R184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R-168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R-168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R168:R175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R159:R166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R150:R157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R-141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R-141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R141:R148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R-132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R-132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R132:R139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R-123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R-123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R123:R130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R-114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R-114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R114:R121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R-105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R-105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R105:R112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R-96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R-96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R96:R103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R-87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R-87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R87:R94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R-78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R-78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R78:R85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R-69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R-69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R69:R76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R-60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R-60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R60:R67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R-51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R51:R58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R-42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R42:R49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R-33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R33:R40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H-6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H-6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H6:H13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R-24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R-24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R24:R31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R-15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R-15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R15:R22</v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22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22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22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22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22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22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>
        <f ca="1"/>
        <v>22</v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23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10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10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10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10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10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10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10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10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10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9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9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9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9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9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9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9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9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9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8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8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8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8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8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8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8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8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8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7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7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7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7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7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7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7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7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7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6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6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6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6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6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6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6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6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6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Sebastian Medina</cp:lastModifiedBy>
  <cp:revision>0</cp:revision>
  <dcterms:created xsi:type="dcterms:W3CDTF">2022-12-26T11:27:14Z</dcterms:created>
  <dcterms:modified xsi:type="dcterms:W3CDTF">2026-01-14T17:29:28Z</dcterms:modified>
  <cp:category/>
  <cp:contentStatus/>
</cp:coreProperties>
</file>