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enja\Downloads\"/>
    </mc:Choice>
  </mc:AlternateContent>
  <xr:revisionPtr revIDLastSave="0" documentId="8_{4EECD4F5-D8F0-46A6-9F9C-106A613FA947}" xr6:coauthVersionLast="47" xr6:coauthVersionMax="47" xr10:uidLastSave="{00000000-0000-0000-0000-000000000000}"/>
  <bookViews>
    <workbookView xWindow="-96" yWindow="-96" windowWidth="23232" windowHeight="12432" activeTab="1" xr2:uid="{00000000-000D-0000-FFFF-FFFF00000000}"/>
  </bookViews>
  <sheets>
    <sheet name="BACKLOG" sheetId="1" r:id="rId1"/>
    <sheet name="SPRINT" sheetId="2" r:id="rId2"/>
    <sheet name="BURDONCHART" sheetId="3" r:id="rId3"/>
  </sheets>
  <calcPr calcId="191029"/>
</workbook>
</file>

<file path=xl/calcChain.xml><?xml version="1.0" encoding="utf-8"?>
<calcChain xmlns="http://schemas.openxmlformats.org/spreadsheetml/2006/main">
  <c r="D28" i="3" l="1"/>
  <c r="E28" i="3" s="1"/>
  <c r="F28" i="3" s="1"/>
  <c r="G28" i="3" s="1"/>
  <c r="H28" i="3" s="1"/>
  <c r="I28" i="3" s="1"/>
  <c r="J28" i="3" s="1"/>
  <c r="D29" i="3"/>
  <c r="E29" i="3" s="1"/>
  <c r="F29" i="3" s="1"/>
  <c r="G29" i="3" s="1"/>
  <c r="H29" i="3" s="1"/>
  <c r="I29" i="3" s="1"/>
  <c r="J29" i="3" s="1"/>
  <c r="C28" i="3"/>
  <c r="C29" i="3"/>
  <c r="K29" i="3" l="1"/>
  <c r="K28" i="3"/>
</calcChain>
</file>

<file path=xl/sharedStrings.xml><?xml version="1.0" encoding="utf-8"?>
<sst xmlns="http://schemas.openxmlformats.org/spreadsheetml/2006/main" count="110" uniqueCount="70">
  <si>
    <t>t</t>
  </si>
  <si>
    <t>Tema</t>
  </si>
  <si>
    <t>Como un..</t>
  </si>
  <si>
    <t>necesito</t>
  </si>
  <si>
    <t>asi podre...</t>
  </si>
  <si>
    <t>notas</t>
  </si>
  <si>
    <t>prioridad</t>
  </si>
  <si>
    <t>estatus</t>
  </si>
  <si>
    <t>REQ001</t>
  </si>
  <si>
    <t>Ingresar al sistema</t>
  </si>
  <si>
    <t>Alta</t>
  </si>
  <si>
    <t>ID</t>
  </si>
  <si>
    <t>Necesito</t>
  </si>
  <si>
    <t>así podre...</t>
  </si>
  <si>
    <t>Prioridad</t>
  </si>
  <si>
    <t>Status</t>
  </si>
  <si>
    <t>Tareas</t>
  </si>
  <si>
    <t>Asignado</t>
  </si>
  <si>
    <t>Estimado</t>
  </si>
  <si>
    <t>REQ001-1</t>
  </si>
  <si>
    <t>Crear un formulario para iniciar sesión.</t>
  </si>
  <si>
    <t>REQ001-2</t>
  </si>
  <si>
    <t>REQ001-3</t>
  </si>
  <si>
    <t>Dia 5</t>
  </si>
  <si>
    <t>Dia 4</t>
  </si>
  <si>
    <t>Dia 3</t>
  </si>
  <si>
    <t>Dia 2</t>
  </si>
  <si>
    <t>Dia 1</t>
  </si>
  <si>
    <t>Total de Horas</t>
  </si>
  <si>
    <t>Horas Estimadas</t>
  </si>
  <si>
    <t>Horas Estimadas
Restantes</t>
  </si>
  <si>
    <t>Ingreso por Credenciales</t>
  </si>
  <si>
    <t>REQ002-1</t>
  </si>
  <si>
    <t>REQ002-2</t>
  </si>
  <si>
    <t>Sebastian Medina</t>
  </si>
  <si>
    <t>REQ003-1</t>
  </si>
  <si>
    <t>Almacenamiento de inicio de sesión en base de datos.</t>
  </si>
  <si>
    <t>Administrador</t>
  </si>
  <si>
    <t>SPRINT 1</t>
  </si>
  <si>
    <t>Día 6</t>
  </si>
  <si>
    <t>Día 7</t>
  </si>
  <si>
    <t xml:space="preserve">Diferenciación de usuarios, ingreso por credenciales </t>
  </si>
  <si>
    <t xml:space="preserve"> Tener acceso por credenciales y diferenciar roles</t>
  </si>
  <si>
    <t xml:space="preserve">Garantizar que el sistema y la información que se ingresa dentro de él pueda ser 
vista solo por el Administrador </t>
  </si>
  <si>
    <t>REQ002</t>
  </si>
  <si>
    <t>REQ003</t>
  </si>
  <si>
    <t>No iniciado</t>
  </si>
  <si>
    <t>Identificación de lote y provedor</t>
  </si>
  <si>
    <t xml:space="preserve">Generación de informes de forma periódica </t>
  </si>
  <si>
    <t xml:space="preserve">Identificar lote y el provedor </t>
  </si>
  <si>
    <t>Apartir de los parámetros existentes en la base de datos, el sistema debe ser
 capaz de crear informes que establezcan tendencias referente a los datos</t>
  </si>
  <si>
    <t xml:space="preserve">No iniciado </t>
  </si>
  <si>
    <t>Benjamín López</t>
  </si>
  <si>
    <t>REQ004</t>
  </si>
  <si>
    <t>Filtrado y selección de datos</t>
  </si>
  <si>
    <t>Administrador/Usuario</t>
  </si>
  <si>
    <t>Generar informes acerca de cantidad de
productos ingresados y proveedores</t>
  </si>
  <si>
    <t>Permitir al usuario ingresar criterios de búsqueda y filtrado sobre la información extraida.</t>
  </si>
  <si>
    <t>Desarrollar un módulo de consultas que reciba los datos crudos del PDF y aplique filtros lógicos.</t>
  </si>
  <si>
    <t xml:space="preserve">	Maquetar lista de lotes</t>
  </si>
  <si>
    <t>Permitir al usuario ingresar criterios de búsqueda 
y filtrado sobre la información extraida.</t>
  </si>
  <si>
    <t>Desarrollar un módulo de consultas que reciba los datos crudos de
 PDF y aplique filtros lógicos.</t>
  </si>
  <si>
    <t>Identificar lote y el provedor</t>
  </si>
  <si>
    <t>Clasificar de manera automática mediante validaciones y formas de reconocimiento los documentos provistos</t>
  </si>
  <si>
    <t>Clasificar de manera automática mediante validaciones y
 formas de reconocimiento los documentos provistos</t>
  </si>
  <si>
    <t xml:space="preserve">Validación de inicio de sesión en la base de datos, la validación de estos tendrá un límite de intento para preservar la seguridad del sistema </t>
  </si>
  <si>
    <t xml:space="preserve">Diseñar la detecciión automática de datos	</t>
  </si>
  <si>
    <t>Interfaz de filtros</t>
  </si>
  <si>
    <t>(ingresar criterios de búsqueda y filtrado sobre la información extraida)</t>
  </si>
  <si>
    <t>REQ003-2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</si>
</sst>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8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rgb="FF0000FF"/>
      <name val="Arial"/>
      <family val="2"/>
    </font>
    <font>
      <sz val="10"/>
      <color theme="1"/>
      <name val="Arial"/>
      <family val="2"/>
    </font>
    <font>
      <sz val="8"/>
      <name val="Arial"/>
      <family val="2"/>
      <scheme val="minor"/>
    </font>
    <font>
      <b/>
      <sz val="12"/>
      <color rgb="FFFF0000"/>
      <name val="Arial"/>
      <family val="2"/>
    </font>
    <font>
      <sz val="12"/>
      <color rgb="FFFF0000"/>
      <name val="Arial"/>
      <family val="2"/>
      <scheme val="minor"/>
    </font>
    <font>
      <sz val="10"/>
      <color theme="4" tint="-0.249977111117893"/>
      <name val="Arial"/>
      <family val="2"/>
    </font>
    <font>
      <sz val="10"/>
      <color theme="4" tint="-0.249977111117893"/>
      <name val="Arial"/>
      <family val="2"/>
      <scheme val="minor"/>
    </font>
    <font>
      <b/>
      <sz val="10"/>
      <color theme="4" tint="-0.249977111117893"/>
      <name val="Arial"/>
      <family val="2"/>
    </font>
    <font>
      <sz val="8"/>
      <name val="Arial"/>
      <scheme val="minor"/>
    </font>
    <font>
      <sz val="11"/>
      <color theme="1"/>
      <name val="Arial"/>
    </font>
    <font>
      <sz val="10"/>
      <color rgb="FF0070C0"/>
      <name val="Arial"/>
      <family val="2"/>
    </font>
    <font>
      <sz val="10"/>
      <color rgb="FF0070C0"/>
      <name val="Arial"/>
      <family val="2"/>
      <scheme val="minor"/>
    </font>
    <font>
      <b/>
      <sz val="10"/>
      <color theme="4" tint="-0.249977111117893"/>
      <name val="Arial"/>
      <family val="2"/>
      <scheme val="minor"/>
    </font>
    <font>
      <sz val="10"/>
      <color theme="8" tint="-0.249977111117893"/>
      <name val="Arial"/>
      <family val="2"/>
    </font>
    <font>
      <sz val="10"/>
      <color theme="8" tint="-0.249977111117893"/>
      <name val="Arial"/>
      <family val="2"/>
      <scheme val="minor"/>
    </font>
    <font>
      <b/>
      <sz val="10"/>
      <color theme="8" tint="-0.249977111117893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1" fillId="0" borderId="1"/>
  </cellStyleXfs>
  <cellXfs count="3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3" fillId="2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0" fontId="3" fillId="4" borderId="1" xfId="0" applyFont="1" applyFill="1" applyBorder="1"/>
    <xf numFmtId="0" fontId="5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7" fillId="0" borderId="0" xfId="0" applyFont="1" applyAlignment="1">
      <alignment horizontal="right"/>
    </xf>
    <xf numFmtId="0" fontId="12" fillId="0" borderId="0" xfId="0" applyFont="1"/>
    <xf numFmtId="0" fontId="13" fillId="0" borderId="0" xfId="0" applyFont="1"/>
    <xf numFmtId="0" fontId="12" fillId="5" borderId="0" xfId="0" applyFont="1" applyFill="1"/>
    <xf numFmtId="0" fontId="13" fillId="5" borderId="0" xfId="0" applyFont="1" applyFill="1"/>
    <xf numFmtId="0" fontId="3" fillId="0" borderId="1" xfId="0" applyFont="1" applyBorder="1"/>
    <xf numFmtId="0" fontId="15" fillId="0" borderId="0" xfId="0" applyFont="1"/>
    <xf numFmtId="0" fontId="15" fillId="0" borderId="0" xfId="0" applyFont="1" applyAlignment="1">
      <alignment wrapText="1"/>
    </xf>
    <xf numFmtId="0" fontId="16" fillId="0" borderId="0" xfId="0" applyFont="1"/>
    <xf numFmtId="0" fontId="15" fillId="0" borderId="0" xfId="0" applyFont="1" applyAlignment="1">
      <alignment horizontal="left" vertical="center"/>
    </xf>
    <xf numFmtId="164" fontId="3" fillId="0" borderId="0" xfId="0" applyNumberFormat="1" applyFont="1"/>
    <xf numFmtId="0" fontId="3" fillId="0" borderId="1" xfId="0" applyFont="1" applyBorder="1" applyAlignment="1">
      <alignment horizontal="right"/>
    </xf>
    <xf numFmtId="0" fontId="8" fillId="0" borderId="0" xfId="0" applyFont="1" applyAlignment="1">
      <alignment vertical="center" wrapText="1"/>
    </xf>
    <xf numFmtId="0" fontId="3" fillId="6" borderId="0" xfId="0" applyFont="1" applyFill="1"/>
    <xf numFmtId="0" fontId="12" fillId="0" borderId="0" xfId="0" applyFont="1" applyAlignment="1">
      <alignment wrapText="1"/>
    </xf>
    <xf numFmtId="0" fontId="8" fillId="0" borderId="0" xfId="0" applyFont="1" applyAlignment="1">
      <alignment horizontal="left"/>
    </xf>
    <xf numFmtId="0" fontId="12" fillId="5" borderId="0" xfId="0" applyFont="1" applyFill="1" applyAlignment="1">
      <alignment wrapText="1"/>
    </xf>
    <xf numFmtId="0" fontId="14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</cellXfs>
  <cellStyles count="2">
    <cellStyle name="Normal" xfId="0" builtinId="0"/>
    <cellStyle name="Normal 2" xfId="1" xr:uid="{00000000-0005-0000-0000-000001000000}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00FF00"/>
          <bgColor rgb="FF00FF0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00FF00"/>
          <bgColor rgb="FF00FF0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burdonchart-style" pivot="0" count="3" xr9:uid="{00000000-0011-0000-FFFF-FFFF00000000}"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K4:K6" headerRowCount="0" totalsRowShown="0">
  <tableColumns count="1">
    <tableColumn id="1" xr3:uid="{00000000-0010-0000-0000-000001000000}" name="Column1" totalsRowDxfId="1">
      <calculatedColumnFormula>SUM(D4:J4)</calculatedColumnFormula>
    </tableColumn>
  </tableColumns>
  <tableStyleInfo name="burdonchart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3" displayName="Table_13" ref="K8:K10" headerRowCount="0" totalsRowShown="0">
  <tableColumns count="1">
    <tableColumn id="1" xr3:uid="{00000000-0010-0000-0100-000001000000}" name="Column1" totalsRowDxfId="0">
      <calculatedColumnFormula>SUM(D8:J8)</calculatedColumnFormula>
    </tableColumn>
  </tableColumns>
  <tableStyleInfo name="burdonchar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0"/>
  <sheetViews>
    <sheetView zoomScale="70" zoomScaleNormal="70" workbookViewId="0">
      <selection activeCell="C4" sqref="C4"/>
    </sheetView>
  </sheetViews>
  <sheetFormatPr baseColWidth="10" defaultColWidth="12.5546875" defaultRowHeight="15" customHeight="1" x14ac:dyDescent="0.4"/>
  <cols>
    <col min="1" max="1" width="12.44140625" customWidth="1"/>
    <col min="2" max="2" width="43.88671875" bestFit="1" customWidth="1"/>
    <col min="3" max="3" width="36" customWidth="1"/>
    <col min="4" max="4" width="37.609375" bestFit="1" customWidth="1"/>
    <col min="5" max="5" width="66" bestFit="1" customWidth="1"/>
    <col min="6" max="26" width="12.44140625" customWidth="1"/>
  </cols>
  <sheetData>
    <row r="1" spans="1:8" s="9" customFormat="1" ht="15.75" customHeight="1" x14ac:dyDescent="0.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 s="11" customFormat="1" ht="15.75" customHeight="1" x14ac:dyDescent="0.4">
      <c r="A2" s="30" t="s">
        <v>38</v>
      </c>
      <c r="B2" s="30"/>
      <c r="C2" s="30"/>
      <c r="D2" s="30"/>
      <c r="E2" s="30"/>
      <c r="F2" s="30"/>
      <c r="G2" s="30"/>
      <c r="H2" s="30"/>
    </row>
    <row r="3" spans="1:8" ht="38.700000000000003" customHeight="1" x14ac:dyDescent="0.4">
      <c r="A3" s="14" t="s">
        <v>8</v>
      </c>
      <c r="B3" s="14" t="s">
        <v>41</v>
      </c>
      <c r="C3" s="14" t="s">
        <v>37</v>
      </c>
      <c r="D3" s="27" t="s">
        <v>42</v>
      </c>
      <c r="E3" s="27" t="s">
        <v>43</v>
      </c>
      <c r="F3" s="15"/>
      <c r="G3" s="14" t="s">
        <v>10</v>
      </c>
      <c r="H3" s="14" t="s">
        <v>46</v>
      </c>
    </row>
    <row r="4" spans="1:8" ht="24.6" x14ac:dyDescent="0.4">
      <c r="A4" s="14" t="s">
        <v>44</v>
      </c>
      <c r="B4" s="14" t="s">
        <v>47</v>
      </c>
      <c r="C4" s="14" t="s">
        <v>55</v>
      </c>
      <c r="D4" s="27" t="s">
        <v>62</v>
      </c>
      <c r="E4" s="27" t="s">
        <v>63</v>
      </c>
      <c r="F4" s="14"/>
      <c r="G4" s="14" t="s">
        <v>10</v>
      </c>
      <c r="H4" s="14" t="s">
        <v>46</v>
      </c>
    </row>
    <row r="5" spans="1:8" ht="42" customHeight="1" x14ac:dyDescent="0.4">
      <c r="A5" s="14" t="s">
        <v>45</v>
      </c>
      <c r="B5" s="14" t="s">
        <v>54</v>
      </c>
      <c r="C5" s="14" t="s">
        <v>55</v>
      </c>
      <c r="D5" s="27" t="s">
        <v>57</v>
      </c>
      <c r="E5" s="27" t="s">
        <v>58</v>
      </c>
      <c r="F5" s="15"/>
      <c r="G5" s="14" t="s">
        <v>10</v>
      </c>
      <c r="H5" s="14" t="s">
        <v>46</v>
      </c>
    </row>
    <row r="6" spans="1:8" ht="38.1" customHeight="1" x14ac:dyDescent="0.4">
      <c r="A6" s="14" t="s">
        <v>53</v>
      </c>
      <c r="B6" s="14" t="s">
        <v>48</v>
      </c>
      <c r="C6" s="14" t="s">
        <v>37</v>
      </c>
      <c r="D6" s="27" t="s">
        <v>56</v>
      </c>
      <c r="E6" s="27" t="s">
        <v>50</v>
      </c>
      <c r="F6" s="15"/>
      <c r="G6" s="14" t="s">
        <v>10</v>
      </c>
      <c r="H6" s="14" t="s">
        <v>46</v>
      </c>
    </row>
    <row r="7" spans="1:8" ht="15.75" customHeight="1" x14ac:dyDescent="0.4">
      <c r="A7" s="31"/>
      <c r="B7" s="31"/>
      <c r="C7" s="31"/>
      <c r="D7" s="31"/>
      <c r="E7" s="31"/>
      <c r="F7" s="31"/>
      <c r="G7" s="31"/>
      <c r="H7" s="31"/>
    </row>
    <row r="8" spans="1:8" ht="12.3" x14ac:dyDescent="0.4">
      <c r="A8" s="19"/>
      <c r="B8" s="19"/>
      <c r="C8" s="19"/>
      <c r="D8" s="22"/>
      <c r="E8" s="20"/>
      <c r="F8" s="21"/>
      <c r="G8" s="19"/>
      <c r="H8" s="19"/>
    </row>
    <row r="9" spans="1:8" ht="15.75" customHeight="1" x14ac:dyDescent="0.4">
      <c r="A9" s="14"/>
      <c r="B9" s="19"/>
      <c r="C9" s="19"/>
      <c r="D9" s="19"/>
      <c r="E9" s="19"/>
      <c r="F9" s="21"/>
      <c r="G9" s="19"/>
      <c r="H9" s="19"/>
    </row>
    <row r="10" spans="1:8" ht="15.75" customHeight="1" x14ac:dyDescent="0.4">
      <c r="A10" s="31"/>
      <c r="B10" s="31"/>
      <c r="C10" s="31"/>
      <c r="D10" s="31"/>
      <c r="E10" s="31"/>
      <c r="F10" s="31"/>
      <c r="G10" s="31"/>
      <c r="H10" s="31"/>
    </row>
    <row r="11" spans="1:8" ht="15.75" customHeight="1" x14ac:dyDescent="0.4">
      <c r="A11" s="19"/>
      <c r="B11" s="19"/>
      <c r="C11" s="19"/>
    </row>
    <row r="12" spans="1:8" ht="15.75" customHeight="1" x14ac:dyDescent="0.4">
      <c r="A12" s="30"/>
      <c r="B12" s="30"/>
      <c r="C12" s="30"/>
      <c r="D12" s="30"/>
      <c r="E12" s="30"/>
      <c r="F12" s="30"/>
      <c r="G12" s="30"/>
      <c r="H12" s="30"/>
    </row>
    <row r="13" spans="1:8" ht="15.75" customHeight="1" x14ac:dyDescent="0.4">
      <c r="A13" s="14"/>
      <c r="B13" s="14"/>
      <c r="C13" s="14"/>
      <c r="D13" s="14"/>
      <c r="E13" s="14"/>
      <c r="F13" s="15"/>
      <c r="G13" s="14"/>
      <c r="H13" s="14"/>
    </row>
    <row r="14" spans="1:8" ht="15.75" customHeight="1" x14ac:dyDescent="0.4">
      <c r="A14" s="14"/>
      <c r="B14" s="14"/>
      <c r="C14" s="14"/>
      <c r="D14" s="14"/>
      <c r="E14" s="14"/>
      <c r="F14" s="14"/>
      <c r="G14" s="14"/>
      <c r="H14" s="14"/>
    </row>
    <row r="15" spans="1:8" ht="15.75" customHeight="1" x14ac:dyDescent="0.4">
      <c r="A15" s="14"/>
      <c r="B15" s="14"/>
      <c r="C15" s="14"/>
      <c r="D15" s="14"/>
      <c r="E15" s="14"/>
      <c r="F15" s="15"/>
      <c r="G15" s="14"/>
      <c r="H15" s="14"/>
    </row>
    <row r="16" spans="1:8" ht="15.75" customHeight="1" x14ac:dyDescent="0.4">
      <c r="A16" s="14"/>
      <c r="B16" s="14"/>
      <c r="C16" s="14"/>
      <c r="D16" s="14"/>
      <c r="E16" s="14"/>
      <c r="F16" s="15"/>
      <c r="G16" s="14"/>
      <c r="H16" s="14"/>
    </row>
    <row r="17" ht="15.75" customHeight="1" x14ac:dyDescent="0.4"/>
    <row r="18" ht="15.75" customHeight="1" x14ac:dyDescent="0.4"/>
    <row r="19" ht="15.75" customHeight="1" x14ac:dyDescent="0.4"/>
    <row r="20" ht="15.75" customHeight="1" x14ac:dyDescent="0.4"/>
    <row r="21" ht="15.75" customHeight="1" x14ac:dyDescent="0.4"/>
    <row r="22" ht="15.75" customHeight="1" x14ac:dyDescent="0.4"/>
    <row r="23" ht="15.75" customHeight="1" x14ac:dyDescent="0.4"/>
    <row r="24" ht="15.75" customHeight="1" x14ac:dyDescent="0.4"/>
    <row r="25" ht="15.75" customHeight="1" x14ac:dyDescent="0.4"/>
    <row r="26" ht="15.75" customHeight="1" x14ac:dyDescent="0.4"/>
    <row r="27" ht="15.75" customHeight="1" x14ac:dyDescent="0.4"/>
    <row r="28" ht="15.75" customHeight="1" x14ac:dyDescent="0.4"/>
    <row r="29" ht="15.75" customHeight="1" x14ac:dyDescent="0.4"/>
    <row r="30" ht="15.75" customHeight="1" x14ac:dyDescent="0.4"/>
    <row r="31" ht="15.75" customHeight="1" x14ac:dyDescent="0.4"/>
    <row r="32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mergeCells count="4">
    <mergeCell ref="A2:H2"/>
    <mergeCell ref="A7:H7"/>
    <mergeCell ref="A10:H10"/>
    <mergeCell ref="A12:H12"/>
  </mergeCells>
  <phoneticPr fontId="10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I930"/>
  <sheetViews>
    <sheetView tabSelected="1" zoomScale="70" workbookViewId="0">
      <selection activeCell="E23" sqref="E23"/>
    </sheetView>
  </sheetViews>
  <sheetFormatPr baseColWidth="10" defaultColWidth="12.5546875" defaultRowHeight="15" customHeight="1" x14ac:dyDescent="0.4"/>
  <cols>
    <col min="1" max="2" width="12.44140625" customWidth="1"/>
    <col min="3" max="3" width="44.6640625" bestFit="1" customWidth="1"/>
    <col min="4" max="4" width="18.609375" customWidth="1"/>
    <col min="5" max="5" width="40.5546875" bestFit="1" customWidth="1"/>
    <col min="6" max="6" width="56.38671875" customWidth="1"/>
    <col min="7" max="7" width="15.21875" bestFit="1" customWidth="1"/>
    <col min="8" max="26" width="12.44140625" customWidth="1"/>
  </cols>
  <sheetData>
    <row r="1" spans="2:9" ht="15.75" customHeight="1" x14ac:dyDescent="0.4"/>
    <row r="2" spans="2:9" ht="15.75" customHeight="1" x14ac:dyDescent="0.4"/>
    <row r="3" spans="2:9" ht="15.75" customHeight="1" x14ac:dyDescent="0.4"/>
    <row r="4" spans="2:9" s="11" customFormat="1" ht="15.75" customHeight="1" x14ac:dyDescent="0.4">
      <c r="B4" s="1" t="s">
        <v>11</v>
      </c>
      <c r="C4" s="1" t="s">
        <v>1</v>
      </c>
      <c r="D4" s="1" t="s">
        <v>2</v>
      </c>
      <c r="E4" s="1" t="s">
        <v>12</v>
      </c>
      <c r="F4" s="1" t="s">
        <v>13</v>
      </c>
      <c r="G4" s="1" t="s">
        <v>5</v>
      </c>
      <c r="H4" s="1" t="s">
        <v>14</v>
      </c>
      <c r="I4" s="1" t="s">
        <v>15</v>
      </c>
    </row>
    <row r="5" spans="2:9" s="11" customFormat="1" ht="36.9" x14ac:dyDescent="0.4">
      <c r="B5" s="16" t="s">
        <v>8</v>
      </c>
      <c r="C5" s="16" t="s">
        <v>31</v>
      </c>
      <c r="D5" s="16" t="s">
        <v>37</v>
      </c>
      <c r="E5" s="16" t="s">
        <v>9</v>
      </c>
      <c r="F5" s="29" t="s">
        <v>43</v>
      </c>
      <c r="G5" s="17"/>
      <c r="H5" s="16" t="s">
        <v>10</v>
      </c>
      <c r="I5" s="16" t="s">
        <v>51</v>
      </c>
    </row>
    <row r="6" spans="2:9" s="11" customFormat="1" ht="15.75" customHeight="1" x14ac:dyDescent="0.4">
      <c r="B6" s="10"/>
      <c r="C6" s="12" t="s">
        <v>16</v>
      </c>
      <c r="D6" s="10"/>
      <c r="E6" s="10"/>
      <c r="F6" s="10"/>
      <c r="G6" s="12" t="s">
        <v>17</v>
      </c>
      <c r="H6" s="10"/>
      <c r="I6" s="12" t="s">
        <v>18</v>
      </c>
    </row>
    <row r="7" spans="2:9" s="11" customFormat="1" ht="15.75" customHeight="1" x14ac:dyDescent="0.4">
      <c r="B7" s="10" t="s">
        <v>19</v>
      </c>
      <c r="C7" s="10" t="s">
        <v>20</v>
      </c>
      <c r="G7" s="10" t="s">
        <v>34</v>
      </c>
      <c r="H7" s="10"/>
      <c r="I7" s="13">
        <v>2</v>
      </c>
    </row>
    <row r="8" spans="2:9" s="11" customFormat="1" ht="15.75" customHeight="1" x14ac:dyDescent="0.4">
      <c r="B8" s="10" t="s">
        <v>21</v>
      </c>
      <c r="C8" s="10" t="s">
        <v>36</v>
      </c>
      <c r="G8" s="10" t="s">
        <v>34</v>
      </c>
      <c r="H8" s="10"/>
      <c r="I8" s="13">
        <v>2</v>
      </c>
    </row>
    <row r="9" spans="2:9" ht="15.75" customHeight="1" x14ac:dyDescent="0.4">
      <c r="B9" s="10" t="s">
        <v>22</v>
      </c>
      <c r="C9" s="32" t="s">
        <v>65</v>
      </c>
      <c r="D9" s="33"/>
      <c r="E9" s="33"/>
      <c r="F9" s="33"/>
      <c r="G9" s="10" t="s">
        <v>34</v>
      </c>
      <c r="H9" s="10"/>
      <c r="I9" s="13">
        <v>2</v>
      </c>
    </row>
    <row r="10" spans="2:9" ht="15.75" customHeight="1" x14ac:dyDescent="0.4">
      <c r="B10" s="1"/>
      <c r="C10" s="1"/>
      <c r="D10" s="1"/>
      <c r="E10" s="1"/>
      <c r="F10" s="1"/>
      <c r="G10" s="1"/>
      <c r="H10" s="1"/>
      <c r="I10" s="1"/>
    </row>
    <row r="11" spans="2:9" ht="24.6" x14ac:dyDescent="0.4">
      <c r="B11" s="16" t="s">
        <v>44</v>
      </c>
      <c r="C11" s="16" t="s">
        <v>47</v>
      </c>
      <c r="D11" s="16" t="s">
        <v>37</v>
      </c>
      <c r="E11" s="16" t="s">
        <v>49</v>
      </c>
      <c r="F11" s="29" t="s">
        <v>64</v>
      </c>
      <c r="G11" s="16"/>
      <c r="H11" s="16" t="s">
        <v>10</v>
      </c>
      <c r="I11" s="16" t="s">
        <v>51</v>
      </c>
    </row>
    <row r="12" spans="2:9" ht="15.75" customHeight="1" x14ac:dyDescent="0.4">
      <c r="B12" s="10"/>
      <c r="C12" s="12" t="s">
        <v>16</v>
      </c>
      <c r="D12" s="11"/>
      <c r="E12" s="11"/>
      <c r="F12" s="11"/>
      <c r="G12" s="12" t="s">
        <v>17</v>
      </c>
      <c r="H12" s="11"/>
      <c r="I12" s="13" t="s">
        <v>18</v>
      </c>
    </row>
    <row r="13" spans="2:9" ht="15.75" customHeight="1" x14ac:dyDescent="0.4">
      <c r="B13" s="11" t="s">
        <v>32</v>
      </c>
      <c r="C13" s="11" t="s">
        <v>59</v>
      </c>
      <c r="D13" s="11"/>
      <c r="E13" s="11"/>
      <c r="F13" s="11"/>
      <c r="G13" s="11" t="s">
        <v>52</v>
      </c>
      <c r="H13" s="11"/>
      <c r="I13" s="11">
        <v>1</v>
      </c>
    </row>
    <row r="14" spans="2:9" ht="15.75" customHeight="1" x14ac:dyDescent="0.4">
      <c r="B14" s="11" t="s">
        <v>33</v>
      </c>
      <c r="C14" s="11" t="s">
        <v>66</v>
      </c>
      <c r="D14" s="11"/>
      <c r="E14" s="11"/>
      <c r="F14" s="11"/>
      <c r="G14" s="11" t="s">
        <v>52</v>
      </c>
      <c r="H14" s="11"/>
      <c r="I14" s="11">
        <v>4</v>
      </c>
    </row>
    <row r="15" spans="2:9" ht="15.75" customHeight="1" x14ac:dyDescent="0.4">
      <c r="B15" s="11"/>
      <c r="C15" s="28"/>
      <c r="D15" s="28"/>
      <c r="E15" s="28"/>
      <c r="F15" s="28"/>
      <c r="G15" s="11"/>
      <c r="H15" s="11"/>
      <c r="I15" s="11"/>
    </row>
    <row r="16" spans="2:9" ht="24.6" x14ac:dyDescent="0.4">
      <c r="B16" s="16" t="s">
        <v>45</v>
      </c>
      <c r="C16" s="16" t="s">
        <v>54</v>
      </c>
      <c r="D16" s="16" t="s">
        <v>37</v>
      </c>
      <c r="E16" s="29" t="s">
        <v>60</v>
      </c>
      <c r="F16" s="29" t="s">
        <v>61</v>
      </c>
      <c r="G16" s="16"/>
      <c r="H16" s="16" t="s">
        <v>10</v>
      </c>
      <c r="I16" s="16" t="s">
        <v>51</v>
      </c>
    </row>
    <row r="17" spans="2:9" ht="15" customHeight="1" x14ac:dyDescent="0.4">
      <c r="B17" s="10"/>
      <c r="C17" s="12" t="s">
        <v>16</v>
      </c>
      <c r="D17" s="11"/>
      <c r="E17" s="11"/>
      <c r="F17" s="11"/>
      <c r="G17" s="12" t="s">
        <v>17</v>
      </c>
      <c r="H17" s="11"/>
      <c r="I17" s="13" t="s">
        <v>18</v>
      </c>
    </row>
    <row r="18" spans="2:9" ht="15" customHeight="1" x14ac:dyDescent="0.4">
      <c r="B18" s="11" t="s">
        <v>35</v>
      </c>
      <c r="C18" s="11" t="s">
        <v>67</v>
      </c>
      <c r="D18" s="11"/>
      <c r="E18" s="11"/>
      <c r="F18" s="11"/>
      <c r="G18" s="11" t="s">
        <v>52</v>
      </c>
      <c r="H18" s="11"/>
      <c r="I18" s="11">
        <v>3</v>
      </c>
    </row>
    <row r="19" spans="2:9" ht="15.75" customHeight="1" x14ac:dyDescent="0.4">
      <c r="B19" s="11" t="s">
        <v>69</v>
      </c>
      <c r="C19" s="11" t="s">
        <v>68</v>
      </c>
      <c r="G19" s="11" t="s">
        <v>52</v>
      </c>
      <c r="I19">
        <v>4</v>
      </c>
    </row>
    <row r="20" spans="2:9" ht="15.75" customHeight="1" x14ac:dyDescent="0.4"/>
    <row r="21" spans="2:9" ht="15.75" customHeight="1" x14ac:dyDescent="0.4"/>
    <row r="22" spans="2:9" ht="15.75" customHeight="1" x14ac:dyDescent="0.4"/>
    <row r="23" spans="2:9" ht="15.75" customHeight="1" x14ac:dyDescent="0.4"/>
    <row r="24" spans="2:9" ht="15.75" customHeight="1" x14ac:dyDescent="0.4"/>
    <row r="25" spans="2:9" ht="15.75" customHeight="1" x14ac:dyDescent="0.4"/>
    <row r="26" spans="2:9" ht="15.75" customHeight="1" x14ac:dyDescent="0.4"/>
    <row r="27" spans="2:9" ht="15.75" customHeight="1" x14ac:dyDescent="0.4"/>
    <row r="28" spans="2:9" ht="15.75" customHeight="1" x14ac:dyDescent="0.4"/>
    <row r="29" spans="2:9" ht="15.75" customHeight="1" x14ac:dyDescent="0.4"/>
    <row r="30" spans="2:9" ht="15.75" customHeight="1" x14ac:dyDescent="0.4"/>
    <row r="31" spans="2:9" ht="15.75" customHeight="1" x14ac:dyDescent="0.4"/>
    <row r="32" spans="2:9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</sheetData>
  <mergeCells count="1">
    <mergeCell ref="C9:F9"/>
  </mergeCells>
  <phoneticPr fontId="4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986"/>
  <sheetViews>
    <sheetView zoomScale="75" zoomScaleNormal="58" workbookViewId="0">
      <selection activeCell="B34" sqref="B34"/>
    </sheetView>
  </sheetViews>
  <sheetFormatPr baseColWidth="10" defaultColWidth="12.5546875" defaultRowHeight="15" customHeight="1" x14ac:dyDescent="0.4"/>
  <cols>
    <col min="1" max="1" width="12.44140625" customWidth="1"/>
    <col min="2" max="2" width="24.5546875" customWidth="1"/>
    <col min="3" max="3" width="12.44140625" customWidth="1"/>
  </cols>
  <sheetData>
    <row r="1" spans="1:11" ht="15.75" customHeight="1" x14ac:dyDescent="0.4"/>
    <row r="2" spans="1:11" ht="15.75" customHeight="1" x14ac:dyDescent="0.4"/>
    <row r="3" spans="1:11" ht="15.75" customHeight="1" x14ac:dyDescent="0.4">
      <c r="B3" s="3"/>
      <c r="C3" s="3" t="s">
        <v>18</v>
      </c>
      <c r="D3" s="26" t="s">
        <v>40</v>
      </c>
      <c r="E3" s="26" t="s">
        <v>39</v>
      </c>
      <c r="F3" s="26" t="s">
        <v>23</v>
      </c>
      <c r="G3" s="26" t="s">
        <v>24</v>
      </c>
      <c r="H3" s="26" t="s">
        <v>25</v>
      </c>
      <c r="I3" s="26" t="s">
        <v>26</v>
      </c>
      <c r="J3" s="26" t="s">
        <v>27</v>
      </c>
      <c r="K3" s="3" t="s">
        <v>28</v>
      </c>
    </row>
    <row r="4" spans="1:11" ht="15.75" customHeight="1" x14ac:dyDescent="0.4">
      <c r="B4" s="2" t="s">
        <v>8</v>
      </c>
      <c r="C4" s="5">
        <v>2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6"/>
    </row>
    <row r="5" spans="1:11" ht="15.75" customHeight="1" x14ac:dyDescent="0.4">
      <c r="B5" s="2" t="s">
        <v>8</v>
      </c>
      <c r="C5" s="5">
        <v>4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6"/>
    </row>
    <row r="6" spans="1:11" ht="15.75" customHeight="1" x14ac:dyDescent="0.4">
      <c r="A6" s="3"/>
      <c r="B6" s="2" t="s">
        <v>8</v>
      </c>
      <c r="C6" s="5">
        <v>6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6"/>
    </row>
    <row r="7" spans="1:11" ht="15.75" customHeight="1" x14ac:dyDescent="0.4"/>
    <row r="8" spans="1:11" ht="15.75" customHeight="1" x14ac:dyDescent="0.4">
      <c r="B8" s="2"/>
      <c r="C8" s="5"/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6"/>
    </row>
    <row r="9" spans="1:11" ht="15.75" customHeight="1" x14ac:dyDescent="0.4">
      <c r="B9" s="2"/>
      <c r="C9" s="5"/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6"/>
    </row>
    <row r="10" spans="1:11" ht="15.75" customHeight="1" x14ac:dyDescent="0.4"/>
    <row r="11" spans="1:11" ht="15.75" customHeight="1" x14ac:dyDescent="0.4">
      <c r="B11" s="2"/>
      <c r="C11" s="5"/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6"/>
    </row>
    <row r="12" spans="1:11" ht="15.75" customHeight="1" x14ac:dyDescent="0.4">
      <c r="B12" s="2"/>
      <c r="C12" s="5"/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6"/>
    </row>
    <row r="13" spans="1:11" ht="15.75" customHeight="1" x14ac:dyDescent="0.4">
      <c r="B13" s="2"/>
      <c r="C13" s="5"/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6"/>
    </row>
    <row r="14" spans="1:11" ht="15.75" customHeight="1" x14ac:dyDescent="0.4"/>
    <row r="15" spans="1:11" ht="15.75" customHeight="1" x14ac:dyDescent="0.4">
      <c r="B15" s="2"/>
      <c r="C15" s="5"/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6"/>
    </row>
    <row r="16" spans="1:11" ht="15.75" customHeight="1" x14ac:dyDescent="0.4">
      <c r="B16" s="2"/>
      <c r="C16" s="5"/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6"/>
    </row>
    <row r="17" spans="2:11" ht="15.75" customHeight="1" x14ac:dyDescent="0.4"/>
    <row r="18" spans="2:11" ht="15.75" customHeight="1" x14ac:dyDescent="0.4">
      <c r="B18" s="2"/>
      <c r="C18" s="5"/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6"/>
    </row>
    <row r="19" spans="2:11" ht="15.75" customHeight="1" x14ac:dyDescent="0.4">
      <c r="B19" s="2"/>
      <c r="C19" s="5"/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6"/>
    </row>
    <row r="20" spans="2:11" ht="15.75" customHeight="1" x14ac:dyDescent="0.4"/>
    <row r="21" spans="2:11" ht="15.75" customHeight="1" x14ac:dyDescent="0.4">
      <c r="B21" s="2"/>
      <c r="C21" s="5"/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6"/>
    </row>
    <row r="22" spans="2:11" ht="15.75" customHeight="1" x14ac:dyDescent="0.4">
      <c r="K22" s="24"/>
    </row>
    <row r="23" spans="2:11" ht="15.75" customHeight="1" x14ac:dyDescent="0.4">
      <c r="B23" s="2"/>
      <c r="C23" s="5"/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6"/>
    </row>
    <row r="24" spans="2:11" ht="15.75" customHeight="1" x14ac:dyDescent="0.4">
      <c r="B24" s="2"/>
      <c r="C24" s="5"/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 s="6"/>
    </row>
    <row r="25" spans="2:11" ht="15.75" customHeight="1" x14ac:dyDescent="0.4">
      <c r="K25" s="24"/>
    </row>
    <row r="26" spans="2:11" ht="15.75" customHeight="1" x14ac:dyDescent="0.4">
      <c r="B26" s="2"/>
      <c r="C26" s="5"/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 s="6"/>
    </row>
    <row r="27" spans="2:11" ht="15.75" customHeight="1" x14ac:dyDescent="0.4">
      <c r="K27" s="24"/>
    </row>
    <row r="28" spans="2:11" ht="15.75" customHeight="1" x14ac:dyDescent="0.4">
      <c r="B28" s="7" t="s">
        <v>29</v>
      </c>
      <c r="C28">
        <f>SUM(C4:C26)</f>
        <v>12</v>
      </c>
      <c r="D28" s="3" t="e">
        <f>#REF!-SUM(D4:D6,D8:D9,D11:D13,D15:D16, D18:D19, D21, D23,D24,D26)</f>
        <v>#REF!</v>
      </c>
      <c r="E28" s="3" t="e">
        <f t="shared" ref="E28:I28" si="0">D28-SUM(E4:E6,E8:E9,E11:E13,E15:E16, E18:E19, E21, E23,E24,E26)</f>
        <v>#REF!</v>
      </c>
      <c r="F28" s="3" t="e">
        <f t="shared" si="0"/>
        <v>#REF!</v>
      </c>
      <c r="G28" s="3" t="e">
        <f t="shared" si="0"/>
        <v>#REF!</v>
      </c>
      <c r="H28" s="3" t="e">
        <f t="shared" si="0"/>
        <v>#REF!</v>
      </c>
      <c r="I28" s="3" t="e">
        <f t="shared" si="0"/>
        <v>#REF!</v>
      </c>
      <c r="J28" s="3" t="e">
        <f>I28-SUM(J4:J6,J8:J9,J11:J13,J15:J16, J18:J19, J21, J23,J24,J26)</f>
        <v>#REF!</v>
      </c>
      <c r="K28" s="6" t="e">
        <f>SUM(D28:J28)</f>
        <v>#REF!</v>
      </c>
    </row>
    <row r="29" spans="2:11" ht="15.75" customHeight="1" x14ac:dyDescent="0.4">
      <c r="B29" s="7" t="s">
        <v>30</v>
      </c>
      <c r="C29">
        <f>SUM(C4:C26)</f>
        <v>12</v>
      </c>
      <c r="D29" s="23" t="e">
        <f>#REF!-(SUM($C$4:$C$6,$C$8:$C$9,$C$11:$C$13,$C$15:$C$16,$C$18:$C$19:$C$21,$C23:$C24, $C26)/30)</f>
        <v>#REF!</v>
      </c>
      <c r="E29" s="23" t="e">
        <f>D29-(SUM($C$4:$C$6,$C$8:$C$9,$C$11:$C$13,$C$15:$C$16,$C$18:$C$19:$C$21,$C23:$C24, $C26)/30)</f>
        <v>#REF!</v>
      </c>
      <c r="F29" s="23" t="e">
        <f>E29-(SUM($C$4:$C$6,$C$8:$C$9,$C$11:$C$13,$C$15:$C$16,$C$18:$C$19:$C$21,$C23:$C24, $C26)/30)</f>
        <v>#REF!</v>
      </c>
      <c r="G29" s="23" t="e">
        <f>F29-(SUM($C$4:$C$6,$C$8:$C$9,$C$11:$C$13,$C$15:$C$16,$C$18:$C$19:$C$21,$C23:$C24, $C26)/30)</f>
        <v>#REF!</v>
      </c>
      <c r="H29" s="23" t="e">
        <f>G29-(SUM($C$4:$C$6,$C$8:$C$9,$C$11:$C$13,$C$15:$C$16,$C$18:$C$19:$C$21,$C23:$C24, $C26)/30)</f>
        <v>#REF!</v>
      </c>
      <c r="I29" s="23" t="e">
        <f>H29-(SUM($C$4:$C$6,$C$8:$C$9,$C$11:$C$13,$C$15:$C$16,$C$18:$C$19:$C$21,$C23:$C24, $C26)/30)</f>
        <v>#REF!</v>
      </c>
      <c r="J29" s="23" t="e">
        <f>I29-(SUM($C$4:$C$6,$C$8:$C$9,$C$11:$C$13,$C$15:$C$16,$C$18:$C$19:$C$21,$C23:$C24, $C26)/30)</f>
        <v>#REF!</v>
      </c>
      <c r="K29" s="6" t="e">
        <f>SUM(D29:J29)</f>
        <v>#REF!</v>
      </c>
    </row>
    <row r="30" spans="2:11" ht="15.75" customHeight="1" x14ac:dyDescent="0.4"/>
    <row r="31" spans="2:11" ht="15.75" customHeight="1" x14ac:dyDescent="0.4"/>
    <row r="32" spans="2:11" ht="15.75" customHeight="1" x14ac:dyDescent="0.4"/>
    <row r="33" spans="2:3" ht="15.75" customHeight="1" x14ac:dyDescent="0.4">
      <c r="B33" s="18"/>
      <c r="C33" s="3"/>
    </row>
    <row r="34" spans="2:3" ht="15.75" customHeight="1" x14ac:dyDescent="0.4"/>
    <row r="35" spans="2:3" ht="15.75" customHeight="1" x14ac:dyDescent="0.4">
      <c r="B35" s="18"/>
      <c r="C35" s="3"/>
    </row>
    <row r="36" spans="2:3" ht="15.75" customHeight="1" x14ac:dyDescent="0.4">
      <c r="B36" s="18"/>
      <c r="C36" s="3"/>
    </row>
    <row r="37" spans="2:3" ht="15.75" customHeight="1" x14ac:dyDescent="0.4"/>
    <row r="38" spans="2:3" ht="15.75" customHeight="1" x14ac:dyDescent="0.4">
      <c r="B38" s="25"/>
      <c r="C38" s="25"/>
    </row>
    <row r="39" spans="2:3" ht="15.75" customHeight="1" x14ac:dyDescent="0.4">
      <c r="B39" s="25"/>
      <c r="C39" s="25"/>
    </row>
    <row r="40" spans="2:3" ht="15.75" customHeight="1" x14ac:dyDescent="0.4">
      <c r="B40" s="25"/>
      <c r="C40" s="25"/>
    </row>
    <row r="41" spans="2:3" ht="15.75" customHeight="1" x14ac:dyDescent="0.4">
      <c r="B41" s="25"/>
      <c r="C41" s="25"/>
    </row>
    <row r="42" spans="2:3" ht="15.75" customHeight="1" x14ac:dyDescent="0.4">
      <c r="B42" s="25"/>
      <c r="C42" s="25"/>
    </row>
    <row r="43" spans="2:3" ht="15.75" customHeight="1" x14ac:dyDescent="0.4">
      <c r="B43" s="25"/>
      <c r="C43" s="25"/>
    </row>
    <row r="44" spans="2:3" ht="15.75" customHeight="1" x14ac:dyDescent="0.4">
      <c r="B44" s="25"/>
      <c r="C44" s="25"/>
    </row>
    <row r="45" spans="2:3" ht="15.75" customHeight="1" x14ac:dyDescent="0.4">
      <c r="B45" s="25"/>
      <c r="C45" s="25"/>
    </row>
    <row r="46" spans="2:3" ht="15.75" customHeight="1" x14ac:dyDescent="0.4"/>
    <row r="47" spans="2:3" ht="15.75" customHeight="1" x14ac:dyDescent="0.4"/>
    <row r="48" spans="2:3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</sheetData>
  <phoneticPr fontId="4" type="noConversion"/>
  <pageMargins left="0.7" right="0.7" top="0.75" bottom="0.75" header="0" footer="0"/>
  <pageSetup orientation="landscape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BACKLOG</vt:lpstr>
      <vt:lpstr>SPRINT</vt:lpstr>
      <vt:lpstr>BURDONCHART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Benjamin López</cp:lastModifiedBy>
  <dcterms:created xsi:type="dcterms:W3CDTF">2023-06-05T13:12:31Z</dcterms:created>
  <dcterms:modified xsi:type="dcterms:W3CDTF">2025-11-27T22:27:51Z</dcterms:modified>
</cp:coreProperties>
</file>