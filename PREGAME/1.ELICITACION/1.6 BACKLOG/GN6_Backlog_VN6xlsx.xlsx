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0" yWindow="0" windowWidth="22785" windowHeight="10215" activeTab="2"/>
  </bookViews>
  <sheets>
    <sheet name="BACKLOG" sheetId="1" r:id="rId1"/>
    <sheet name="SPRINT" sheetId="2" r:id="rId2"/>
    <sheet name="BURDONCHART" sheetId="3" r:id="rId3"/>
  </sheets>
  <calcPr calcId="162913"/>
</workbook>
</file>

<file path=xl/calcChain.xml><?xml version="1.0" encoding="utf-8"?>
<calcChain xmlns="http://schemas.openxmlformats.org/spreadsheetml/2006/main">
  <c r="K21" i="3" l="1"/>
  <c r="K19" i="3"/>
  <c r="K18" i="3"/>
  <c r="K15" i="3"/>
  <c r="K14" i="3"/>
  <c r="K10" i="3"/>
  <c r="K11" i="3"/>
  <c r="K12" i="3"/>
  <c r="K6" i="3"/>
  <c r="K5" i="3"/>
  <c r="K4" i="3"/>
  <c r="E21" i="3" l="1"/>
  <c r="F21" i="3"/>
  <c r="G21" i="3"/>
  <c r="H21" i="3"/>
  <c r="I21" i="3"/>
  <c r="J21" i="3"/>
  <c r="D21" i="3"/>
  <c r="C21" i="3"/>
  <c r="C22" i="3" l="1"/>
  <c r="D22" i="3" s="1"/>
  <c r="E22" i="3" s="1"/>
  <c r="F22" i="3" s="1"/>
  <c r="G22" i="3" s="1"/>
  <c r="H22" i="3" s="1"/>
  <c r="I22" i="3" s="1"/>
  <c r="J22" i="3" s="1"/>
  <c r="K22" i="3" l="1"/>
</calcChain>
</file>

<file path=xl/sharedStrings.xml><?xml version="1.0" encoding="utf-8"?>
<sst xmlns="http://schemas.openxmlformats.org/spreadsheetml/2006/main" count="144" uniqueCount="76">
  <si>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</si>
  <si>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</si>
  <si>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</si>
  <si>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</si>
  <si>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</si>
  <si>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</si>
  <si>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</si>
  <si>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</si>
  <si>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</si>
  <si>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</si>
  <si>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</si>
  <si>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</si>
  <si>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</si>
  <si>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</si>
  <si>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</si>
  <si>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</si>
  <si>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</si>
  <si>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</si>
  <si>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Crear un formulario para iniciar sesión.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</si>
  <si>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</si>
  <si>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</si>
  <si>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</si>
  <si>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</si>
  <si>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</si>
  <si>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</si>
  <si>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</si>
  <si>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</si>
  <si>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</si>
  <si>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</si>
  <si>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REQ002-1</t>
  </si>
  <si>
    <t>REQ002-2</t>
  </si>
  <si>
    <t>Sebastian Medina</t>
  </si>
  <si>
    <t>REQ003-1</t>
  </si>
  <si>
    <t>Administrador</t>
  </si>
  <si>
    <t>SPRINT 1</t>
  </si>
  <si>
    <t>Día 6</t>
  </si>
  <si>
    <t>Día 7</t>
  </si>
  <si>
    <t xml:space="preserve">Diferenciación de usuarios, ingreso por credenciales </t>
  </si>
  <si>
    <t xml:space="preserve"> Tener acceso por credenciales y diferenciar roles</t>
  </si>
  <si>
    <t xml:space="preserve">Garantizar que el sistema y la información que se ingresa dentro de él pueda ser 
vista solo por el Administrador </t>
  </si>
  <si>
    <t>REQ002</t>
  </si>
  <si>
    <t>REQ003</t>
  </si>
  <si>
    <t xml:space="preserve">Generación de informes de forma periódica </t>
  </si>
  <si>
    <t>Benjamín López</t>
  </si>
  <si>
    <t>REQ004</t>
  </si>
  <si>
    <t>Generar informes acerca de cantidad de
productos ingresados y proveedores</t>
  </si>
  <si>
    <t>Permitir al usuario ingresar criterios de búsqueda 
y filtrado sobre la información extraida.</t>
  </si>
  <si>
    <t xml:space="preserve">Validación de inicio de sesión en la base de datos, la validación de estos tendrá un límite de intento para preservar la seguridad del sistema </t>
  </si>
  <si>
    <t>Interfaz de filtros</t>
  </si>
  <si>
    <t>(ingresar criterios de búsqueda y filtrado sobre la información extraida)</t>
  </si>
  <si>
    <t>REQ003-2</t>
  </si>
  <si>
    <t>Apartado de carga y eliminacion de archivos</t>
  </si>
  <si>
    <t>Consulta y Búsqueda de archivos</t>
  </si>
  <si>
    <t>Reflejar un apartado para la carga y eliminacion de archivos de donde se saca la informacion</t>
  </si>
  <si>
    <t>Muestren las opciones de carga de archivos, y un botón  para la eliminación de archivos en caso de carga errónea.</t>
  </si>
  <si>
    <t>un apartado (interfaz) en donde permita realizar la busqueda mediante filtros de relevancia</t>
  </si>
  <si>
    <t>Acceder a la interfaz de filtrado, en donde podrá buscar mediante filtros el número de lote, proveedor o producto que se requiera.</t>
  </si>
  <si>
    <t>Crear informes en formato excel y pdf que establezcan tendencias referente a los datos</t>
  </si>
  <si>
    <t>En proceso</t>
  </si>
  <si>
    <t>Crear la interfaz de incio de sesión</t>
  </si>
  <si>
    <t xml:space="preserve">	Maquetar la subida de archivos pdf</t>
  </si>
  <si>
    <t>Tener acceso por credenciales y diferenciar roles</t>
  </si>
  <si>
    <t>Reflejar un apartado para la carga y eliminacion de 
archivos de donde se saca la informacion</t>
  </si>
  <si>
    <t>Muestrar las opciones de carga de archivos, y un botón  para la eliminación de archivos en caso de carga errónea.</t>
  </si>
  <si>
    <t>Nayely Simbaña</t>
  </si>
  <si>
    <t>REQ002-3</t>
  </si>
  <si>
    <t xml:space="preserve">Diseñar la seccion de elminación de datos	</t>
  </si>
  <si>
    <t>REQ001-4</t>
  </si>
  <si>
    <t>REQ001-5</t>
  </si>
  <si>
    <t>Campo y fomrulario de registro de cuenta en caso de no tener una</t>
  </si>
  <si>
    <t>Campo y fomrmaulario de recuperacion de cuentaen caso de olvidar la contraseña</t>
  </si>
  <si>
    <t xml:space="preserve">Diseñar la detección automática de datos	</t>
  </si>
  <si>
    <t>Interfaz de exportacion en formato pdf o excel</t>
  </si>
  <si>
    <t>criterios de búsqueda y filtrado sobre la información extraida</t>
  </si>
  <si>
    <t>REQ004-1</t>
  </si>
  <si>
    <t>REQ004-2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</si>
</sst>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scheme val="minor"/>
    </font>
    <font>
      <sz val="11"/>
      <color theme="1"/>
      <name val="Arial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1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3" fillId="0" borderId="1" xfId="0" applyFont="1" applyBorder="1"/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 vertical="center"/>
    </xf>
    <xf numFmtId="164" fontId="3" fillId="0" borderId="0" xfId="0" applyNumberFormat="1" applyFont="1"/>
    <xf numFmtId="0" fontId="3" fillId="0" borderId="1" xfId="0" applyFont="1" applyBorder="1" applyAlignment="1">
      <alignment horizontal="right"/>
    </xf>
    <xf numFmtId="0" fontId="8" fillId="0" borderId="0" xfId="0" applyFont="1" applyAlignment="1">
      <alignment vertical="center" wrapText="1"/>
    </xf>
    <xf numFmtId="0" fontId="3" fillId="6" borderId="0" xfId="0" applyFont="1" applyFill="1"/>
    <xf numFmtId="0" fontId="12" fillId="0" borderId="0" xfId="0" applyFont="1" applyAlignment="1">
      <alignment wrapText="1"/>
    </xf>
    <xf numFmtId="0" fontId="8" fillId="0" borderId="0" xfId="0" applyFont="1" applyAlignment="1">
      <alignment horizontal="left"/>
    </xf>
    <xf numFmtId="0" fontId="12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3" fillId="3" borderId="1" xfId="0" applyNumberFormat="1" applyFont="1" applyFill="1" applyBorder="1" applyAlignment="1">
      <alignment horizontal="right"/>
    </xf>
  </cellXfs>
  <cellStyles count="2">
    <cellStyle name="Normal" xfId="0" builtinId="0"/>
    <cellStyle name="Normal 2" xfId="1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BURDONCHART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BURDONCHART!$B$21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BURDONCHART!$C$21:$J$21</c:f>
              <c:numCache>
                <c:formatCode>General</c:formatCode>
                <c:ptCount val="8"/>
                <c:pt idx="0">
                  <c:v>39</c:v>
                </c:pt>
                <c:pt idx="1">
                  <c:v>5</c:v>
                </c:pt>
                <c:pt idx="2">
                  <c:v>4</c:v>
                </c:pt>
                <c:pt idx="3">
                  <c:v>7</c:v>
                </c:pt>
                <c:pt idx="4">
                  <c:v>6</c:v>
                </c:pt>
                <c:pt idx="5">
                  <c:v>4</c:v>
                </c:pt>
                <c:pt idx="6">
                  <c:v>8</c:v>
                </c:pt>
                <c:pt idx="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01-4931-9C4B-613A3F9A8D6E}"/>
            </c:ext>
          </c:extLst>
        </c:ser>
        <c:ser>
          <c:idx val="1"/>
          <c:order val="1"/>
          <c:tx>
            <c:strRef>
              <c:f>BURDONCHART!$B$22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BURDONCHART!$C$22:$J$22</c:f>
              <c:numCache>
                <c:formatCode>0.0</c:formatCode>
                <c:ptCount val="8"/>
                <c:pt idx="0" formatCode="General">
                  <c:v>39</c:v>
                </c:pt>
                <c:pt idx="1">
                  <c:v>31.2</c:v>
                </c:pt>
                <c:pt idx="2">
                  <c:v>23.4</c:v>
                </c:pt>
                <c:pt idx="3">
                  <c:v>15.599999999999998</c:v>
                </c:pt>
                <c:pt idx="4">
                  <c:v>7.799999999999998</c:v>
                </c:pt>
                <c:pt idx="5">
                  <c:v>0</c:v>
                </c:pt>
                <c:pt idx="6">
                  <c:v>-7.8</c:v>
                </c:pt>
                <c:pt idx="7">
                  <c:v>-15.6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01-4931-9C4B-613A3F9A8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0199391"/>
        <c:axId val="1380196895"/>
      </c:lineChart>
      <c:catAx>
        <c:axId val="138019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196895"/>
        <c:crosses val="autoZero"/>
        <c:auto val="1"/>
        <c:lblAlgn val="ctr"/>
        <c:lblOffset val="100"/>
        <c:noMultiLvlLbl val="0"/>
      </c:catAx>
      <c:valAx>
        <c:axId val="138019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19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6348</xdr:colOff>
      <xdr:row>2</xdr:row>
      <xdr:rowOff>196848</xdr:rowOff>
    </xdr:from>
    <xdr:to>
      <xdr:col>19</xdr:col>
      <xdr:colOff>12699</xdr:colOff>
      <xdr:row>21</xdr:row>
      <xdr:rowOff>177799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_1" displayName="Table_1" ref="K4:K6" headerRowCount="0" totalsRowShown="0">
  <tableColumns count="1">
    <tableColumn id="1" name="Column1" dataDxfId="2" totalsRowDxfId="3">
      <calculatedColumnFormula>SUM(D4:J4)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id="2" name="Table_13" displayName="Table_13" ref="K10:K14" headerRowCount="0" totalsRowCount="1">
  <tableColumns count="1">
    <tableColumn id="1" name="Column1" totalsRowFunction="custom" dataDxfId="1" totalsRowDxfId="0">
      <calculatedColumnFormula>SUM(D10:J10)</calculatedColumnFormula>
      <totalsRowFormula>SUM(D14:J14)</totalsRow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zoomScale="70" zoomScaleNormal="70" workbookViewId="0">
      <selection activeCell="B6" sqref="B6"/>
    </sheetView>
  </sheetViews>
  <sheetFormatPr baseColWidth="10" defaultColWidth="12.5703125" defaultRowHeight="15" customHeight="1" x14ac:dyDescent="0.2"/>
  <cols>
    <col min="1" max="1" width="12.42578125" customWidth="1"/>
    <col min="2" max="2" width="43.85546875" bestFit="1" customWidth="1"/>
    <col min="3" max="3" width="36" customWidth="1"/>
    <col min="4" max="4" width="37.5703125" bestFit="1" customWidth="1"/>
    <col min="5" max="5" width="66" bestFit="1" customWidth="1"/>
    <col min="6" max="26" width="12.42578125" customWidth="1"/>
  </cols>
  <sheetData>
    <row r="1" spans="1:8" s="9" customFormat="1" ht="15.75" customHeight="1" x14ac:dyDescent="0.25">
      <c r="A1" s="8" t="s">
        <v>9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</row>
    <row r="2" spans="1:8" s="11" customFormat="1" ht="15.75" customHeight="1" x14ac:dyDescent="0.2">
      <c r="A2" s="30" t="s">
        <v>34</v>
      </c>
      <c r="B2" s="30"/>
      <c r="C2" s="30"/>
      <c r="D2" s="30"/>
      <c r="E2" s="30"/>
      <c r="F2" s="30"/>
      <c r="G2" s="30"/>
      <c r="H2" s="30"/>
    </row>
    <row r="3" spans="1:8" ht="38.65" customHeight="1" x14ac:dyDescent="0.2">
      <c r="A3" s="14" t="s">
        <v>7</v>
      </c>
      <c r="B3" s="14" t="s">
        <v>37</v>
      </c>
      <c r="C3" s="14" t="s">
        <v>33</v>
      </c>
      <c r="D3" s="25" t="s">
        <v>38</v>
      </c>
      <c r="E3" s="25" t="s">
        <v>39</v>
      </c>
      <c r="F3" s="15"/>
      <c r="G3" s="14" t="s">
        <v>8</v>
      </c>
      <c r="H3" s="14" t="s">
        <v>58</v>
      </c>
    </row>
    <row r="4" spans="1:8" ht="38.25" x14ac:dyDescent="0.2">
      <c r="A4" s="14" t="s">
        <v>40</v>
      </c>
      <c r="B4" s="14" t="s">
        <v>51</v>
      </c>
      <c r="C4" s="14" t="s">
        <v>33</v>
      </c>
      <c r="D4" s="25" t="s">
        <v>53</v>
      </c>
      <c r="E4" s="25" t="s">
        <v>54</v>
      </c>
      <c r="F4" s="14"/>
      <c r="G4" s="14" t="s">
        <v>8</v>
      </c>
      <c r="H4" s="14" t="s">
        <v>58</v>
      </c>
    </row>
    <row r="5" spans="1:8" ht="42" customHeight="1" x14ac:dyDescent="0.2">
      <c r="A5" s="14" t="s">
        <v>41</v>
      </c>
      <c r="B5" s="14" t="s">
        <v>52</v>
      </c>
      <c r="C5" s="14" t="s">
        <v>33</v>
      </c>
      <c r="D5" s="25" t="s">
        <v>55</v>
      </c>
      <c r="E5" s="25" t="s">
        <v>56</v>
      </c>
      <c r="F5" s="15"/>
      <c r="G5" s="14" t="s">
        <v>8</v>
      </c>
      <c r="H5" s="14" t="s">
        <v>58</v>
      </c>
    </row>
    <row r="6" spans="1:8" ht="38.1" customHeight="1" x14ac:dyDescent="0.2">
      <c r="A6" s="14" t="s">
        <v>44</v>
      </c>
      <c r="B6" s="14" t="s">
        <v>42</v>
      </c>
      <c r="C6" s="14" t="s">
        <v>33</v>
      </c>
      <c r="D6" s="25" t="s">
        <v>45</v>
      </c>
      <c r="E6" s="25" t="s">
        <v>57</v>
      </c>
      <c r="F6" s="15"/>
      <c r="G6" s="14" t="s">
        <v>8</v>
      </c>
      <c r="H6" s="14" t="s">
        <v>58</v>
      </c>
    </row>
    <row r="7" spans="1:8" ht="15.75" customHeight="1" x14ac:dyDescent="0.2">
      <c r="A7" s="31"/>
      <c r="B7" s="31"/>
      <c r="C7" s="31"/>
      <c r="D7" s="31"/>
      <c r="E7" s="31"/>
      <c r="F7" s="31"/>
      <c r="G7" s="31"/>
      <c r="H7" s="31"/>
    </row>
    <row r="8" spans="1:8" ht="12.75" x14ac:dyDescent="0.2">
      <c r="A8" s="17"/>
      <c r="B8" s="17"/>
      <c r="C8" s="17"/>
      <c r="D8" s="20"/>
      <c r="E8" s="18"/>
      <c r="F8" s="19"/>
      <c r="G8" s="17"/>
      <c r="H8" s="17"/>
    </row>
    <row r="9" spans="1:8" ht="15.75" customHeight="1" x14ac:dyDescent="0.2">
      <c r="A9" s="14"/>
      <c r="B9" s="17"/>
      <c r="C9" s="17"/>
      <c r="D9" s="17"/>
      <c r="E9" s="17"/>
      <c r="F9" s="19"/>
      <c r="G9" s="17"/>
      <c r="H9" s="17"/>
    </row>
    <row r="10" spans="1:8" ht="15.75" customHeight="1" x14ac:dyDescent="0.2">
      <c r="A10" s="31"/>
      <c r="B10" s="31"/>
      <c r="C10" s="31"/>
      <c r="D10" s="31"/>
      <c r="E10" s="31"/>
      <c r="F10" s="31"/>
      <c r="G10" s="31"/>
      <c r="H10" s="31"/>
    </row>
    <row r="11" spans="1:8" ht="15.75" customHeight="1" x14ac:dyDescent="0.2">
      <c r="A11" s="17"/>
      <c r="B11" s="17"/>
      <c r="C11" s="17"/>
    </row>
    <row r="12" spans="1:8" ht="15.7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8" ht="15.75" customHeight="1" x14ac:dyDescent="0.2">
      <c r="A13" s="14"/>
      <c r="B13" s="14"/>
      <c r="C13" s="14"/>
      <c r="D13" s="14"/>
      <c r="E13" s="14"/>
      <c r="F13" s="15"/>
      <c r="G13" s="14"/>
      <c r="H13" s="14"/>
    </row>
    <row r="14" spans="1:8" ht="15.75" customHeight="1" x14ac:dyDescent="0.2">
      <c r="A14" s="14"/>
      <c r="B14" s="14"/>
      <c r="C14" s="14"/>
      <c r="D14" s="14"/>
      <c r="E14" s="14"/>
      <c r="F14" s="14"/>
      <c r="G14" s="14"/>
      <c r="H14" s="14"/>
    </row>
    <row r="15" spans="1:8" ht="15.75" customHeight="1" x14ac:dyDescent="0.2">
      <c r="A15" s="14"/>
      <c r="B15" s="14"/>
      <c r="C15" s="14"/>
      <c r="D15" s="14"/>
      <c r="E15" s="14"/>
      <c r="F15" s="15"/>
      <c r="G15" s="14"/>
      <c r="H15" s="14"/>
    </row>
    <row r="16" spans="1:8" ht="15.75" customHeight="1" x14ac:dyDescent="0.2">
      <c r="A16" s="14"/>
      <c r="B16" s="14"/>
      <c r="C16" s="14"/>
      <c r="D16" s="14"/>
      <c r="E16" s="14"/>
      <c r="F16" s="15"/>
      <c r="G16" s="14"/>
      <c r="H16" s="14"/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2:H2"/>
    <mergeCell ref="A7:H7"/>
    <mergeCell ref="A10:H10"/>
    <mergeCell ref="A12:H12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I933"/>
  <sheetViews>
    <sheetView zoomScale="70" workbookViewId="0">
      <selection activeCell="A19" sqref="A19"/>
    </sheetView>
  </sheetViews>
  <sheetFormatPr baseColWidth="10" defaultColWidth="12.5703125" defaultRowHeight="15" customHeight="1" x14ac:dyDescent="0.2"/>
  <cols>
    <col min="1" max="2" width="12.42578125" customWidth="1"/>
    <col min="3" max="3" width="44.7109375" bestFit="1" customWidth="1"/>
    <col min="4" max="4" width="18.5703125" customWidth="1"/>
    <col min="5" max="5" width="77.28515625" bestFit="1" customWidth="1"/>
    <col min="6" max="6" width="56.42578125" customWidth="1"/>
    <col min="7" max="7" width="15.28515625" bestFit="1" customWidth="1"/>
    <col min="8" max="26" width="12.42578125" customWidth="1"/>
  </cols>
  <sheetData>
    <row r="1" spans="2:9" ht="15.75" customHeight="1" x14ac:dyDescent="0.2"/>
    <row r="2" spans="2:9" ht="15.75" customHeight="1" x14ac:dyDescent="0.2"/>
    <row r="3" spans="2:9" ht="15.75" customHeight="1" x14ac:dyDescent="0.2"/>
    <row r="4" spans="2:9" s="11" customFormat="1" ht="15.75" customHeight="1" x14ac:dyDescent="0.2">
      <c r="B4" s="1" t="s">
        <v>9</v>
      </c>
      <c r="C4" s="1" t="s">
        <v>0</v>
      </c>
      <c r="D4" s="1" t="s">
        <v>1</v>
      </c>
      <c r="E4" s="1" t="s">
        <v>10</v>
      </c>
      <c r="F4" s="1" t="s">
        <v>11</v>
      </c>
      <c r="G4" s="1" t="s">
        <v>4</v>
      </c>
      <c r="H4" s="1" t="s">
        <v>12</v>
      </c>
      <c r="I4" s="1" t="s">
        <v>13</v>
      </c>
    </row>
    <row r="5" spans="2:9" s="11" customFormat="1" ht="38.25" x14ac:dyDescent="0.2">
      <c r="B5" s="27" t="s">
        <v>7</v>
      </c>
      <c r="C5" s="27" t="s">
        <v>37</v>
      </c>
      <c r="D5" s="27" t="s">
        <v>33</v>
      </c>
      <c r="E5" s="27" t="s">
        <v>61</v>
      </c>
      <c r="F5" s="28" t="s">
        <v>39</v>
      </c>
      <c r="G5" s="29"/>
      <c r="H5" s="27" t="s">
        <v>8</v>
      </c>
      <c r="I5" s="27" t="s">
        <v>58</v>
      </c>
    </row>
    <row r="6" spans="2:9" s="11" customFormat="1" ht="15.75" customHeight="1" x14ac:dyDescent="0.2">
      <c r="B6" s="10"/>
      <c r="C6" s="12" t="s">
        <v>14</v>
      </c>
      <c r="D6" s="10"/>
      <c r="E6" s="10"/>
      <c r="F6" s="10"/>
      <c r="G6" s="12" t="s">
        <v>15</v>
      </c>
      <c r="H6" s="10"/>
      <c r="I6" s="12" t="s">
        <v>16</v>
      </c>
    </row>
    <row r="7" spans="2:9" s="11" customFormat="1" ht="15.75" customHeight="1" x14ac:dyDescent="0.2">
      <c r="B7" s="10" t="s">
        <v>17</v>
      </c>
      <c r="C7" s="10" t="s">
        <v>59</v>
      </c>
      <c r="G7" s="10" t="s">
        <v>31</v>
      </c>
      <c r="H7" s="10"/>
      <c r="I7" s="13">
        <v>2</v>
      </c>
    </row>
    <row r="8" spans="2:9" s="11" customFormat="1" ht="15.75" customHeight="1" x14ac:dyDescent="0.2">
      <c r="B8" s="10" t="s">
        <v>19</v>
      </c>
      <c r="C8" s="10" t="s">
        <v>18</v>
      </c>
      <c r="G8" s="10" t="s">
        <v>31</v>
      </c>
      <c r="H8" s="10"/>
      <c r="I8" s="13">
        <v>2</v>
      </c>
    </row>
    <row r="9" spans="2:9" ht="15.6" customHeight="1" x14ac:dyDescent="0.2">
      <c r="B9" s="10" t="s">
        <v>20</v>
      </c>
      <c r="C9" s="32" t="s">
        <v>47</v>
      </c>
      <c r="D9" s="33"/>
      <c r="E9" s="33"/>
      <c r="F9" s="33"/>
      <c r="G9" s="10" t="s">
        <v>31</v>
      </c>
      <c r="H9" s="10"/>
      <c r="I9" s="13">
        <v>2</v>
      </c>
    </row>
    <row r="10" spans="2:9" ht="15.6" customHeight="1" x14ac:dyDescent="0.2">
      <c r="B10" s="10" t="s">
        <v>67</v>
      </c>
      <c r="C10" s="10" t="s">
        <v>69</v>
      </c>
      <c r="D10" s="11"/>
      <c r="E10" s="11"/>
      <c r="F10" s="11"/>
      <c r="G10" s="10" t="s">
        <v>31</v>
      </c>
      <c r="H10" s="10"/>
      <c r="I10" s="13">
        <v>4</v>
      </c>
    </row>
    <row r="11" spans="2:9" ht="15.6" customHeight="1" x14ac:dyDescent="0.2">
      <c r="B11" s="10" t="s">
        <v>68</v>
      </c>
      <c r="C11" s="10" t="s">
        <v>70</v>
      </c>
      <c r="D11" s="11"/>
      <c r="E11" s="11"/>
      <c r="F11" s="11"/>
      <c r="G11" s="10" t="s">
        <v>31</v>
      </c>
      <c r="H11" s="10"/>
      <c r="I11" s="13">
        <v>4</v>
      </c>
    </row>
    <row r="12" spans="2:9" ht="15.75" customHeight="1" x14ac:dyDescent="0.2">
      <c r="B12" s="10"/>
      <c r="C12" s="10"/>
      <c r="D12" s="11"/>
      <c r="E12" s="11"/>
      <c r="F12" s="11"/>
      <c r="G12" s="10"/>
      <c r="H12" s="10"/>
      <c r="I12" s="13"/>
    </row>
    <row r="13" spans="2:9" ht="44.45" customHeight="1" x14ac:dyDescent="0.2">
      <c r="B13" s="27" t="s">
        <v>40</v>
      </c>
      <c r="C13" s="27" t="s">
        <v>51</v>
      </c>
      <c r="D13" s="27" t="s">
        <v>33</v>
      </c>
      <c r="E13" s="27" t="s">
        <v>62</v>
      </c>
      <c r="F13" s="28" t="s">
        <v>63</v>
      </c>
      <c r="G13" s="29"/>
      <c r="H13" s="27" t="s">
        <v>8</v>
      </c>
      <c r="I13" s="27" t="s">
        <v>58</v>
      </c>
    </row>
    <row r="14" spans="2:9" ht="15.75" customHeight="1" x14ac:dyDescent="0.2">
      <c r="B14" s="10"/>
      <c r="C14" s="12" t="s">
        <v>14</v>
      </c>
      <c r="D14" s="11"/>
      <c r="E14" s="11"/>
      <c r="F14" s="11"/>
      <c r="G14" s="12" t="s">
        <v>15</v>
      </c>
      <c r="H14" s="11"/>
      <c r="I14" s="13" t="s">
        <v>16</v>
      </c>
    </row>
    <row r="15" spans="2:9" ht="15.75" customHeight="1" x14ac:dyDescent="0.2">
      <c r="B15" s="11" t="s">
        <v>29</v>
      </c>
      <c r="C15" s="11" t="s">
        <v>60</v>
      </c>
      <c r="D15" s="11"/>
      <c r="E15" s="11"/>
      <c r="F15" s="11"/>
      <c r="G15" s="11" t="s">
        <v>43</v>
      </c>
      <c r="H15" s="11"/>
      <c r="I15" s="11">
        <v>2</v>
      </c>
    </row>
    <row r="16" spans="2:9" ht="15.75" customHeight="1" x14ac:dyDescent="0.2">
      <c r="B16" s="11" t="s">
        <v>30</v>
      </c>
      <c r="C16" s="11" t="s">
        <v>71</v>
      </c>
      <c r="D16" s="11"/>
      <c r="E16" s="11"/>
      <c r="F16" s="11"/>
      <c r="G16" s="11" t="s">
        <v>43</v>
      </c>
      <c r="H16" s="11"/>
      <c r="I16" s="11">
        <v>5</v>
      </c>
    </row>
    <row r="17" spans="2:9" ht="15.6" customHeight="1" x14ac:dyDescent="0.2">
      <c r="B17" s="11" t="s">
        <v>65</v>
      </c>
      <c r="C17" s="11" t="s">
        <v>66</v>
      </c>
      <c r="D17" s="11"/>
      <c r="E17" s="11"/>
      <c r="F17" s="11"/>
      <c r="G17" s="11" t="s">
        <v>43</v>
      </c>
      <c r="H17" s="11"/>
      <c r="I17" s="11">
        <v>4</v>
      </c>
    </row>
    <row r="18" spans="2:9" ht="15.75" customHeight="1" x14ac:dyDescent="0.2">
      <c r="B18" s="11"/>
      <c r="C18" s="26"/>
      <c r="D18" s="26"/>
      <c r="E18" s="26"/>
      <c r="F18" s="26"/>
      <c r="G18" s="11"/>
      <c r="H18" s="11"/>
      <c r="I18" s="11"/>
    </row>
    <row r="19" spans="2:9" ht="32.65" customHeight="1" x14ac:dyDescent="0.2">
      <c r="B19" s="27" t="s">
        <v>41</v>
      </c>
      <c r="C19" s="27" t="s">
        <v>52</v>
      </c>
      <c r="D19" s="27" t="s">
        <v>33</v>
      </c>
      <c r="E19" s="28" t="s">
        <v>46</v>
      </c>
      <c r="F19" s="28" t="s">
        <v>56</v>
      </c>
      <c r="G19" s="29"/>
      <c r="H19" s="27" t="s">
        <v>8</v>
      </c>
      <c r="I19" s="27" t="s">
        <v>58</v>
      </c>
    </row>
    <row r="20" spans="2:9" ht="15" customHeight="1" x14ac:dyDescent="0.2">
      <c r="B20" s="10"/>
      <c r="C20" s="12" t="s">
        <v>14</v>
      </c>
      <c r="D20" s="11"/>
      <c r="E20" s="11"/>
      <c r="F20" s="11"/>
      <c r="G20" s="12" t="s">
        <v>15</v>
      </c>
      <c r="H20" s="11"/>
      <c r="I20" s="13" t="s">
        <v>16</v>
      </c>
    </row>
    <row r="21" spans="2:9" ht="15" customHeight="1" x14ac:dyDescent="0.2">
      <c r="B21" s="11" t="s">
        <v>32</v>
      </c>
      <c r="C21" s="11" t="s">
        <v>48</v>
      </c>
      <c r="D21" s="11"/>
      <c r="E21" s="11"/>
      <c r="F21" s="11"/>
      <c r="G21" s="11" t="s">
        <v>43</v>
      </c>
      <c r="H21" s="11"/>
      <c r="I21" s="11">
        <v>3</v>
      </c>
    </row>
    <row r="22" spans="2:9" ht="15.75" customHeight="1" x14ac:dyDescent="0.2">
      <c r="B22" s="11" t="s">
        <v>50</v>
      </c>
      <c r="C22" s="11" t="s">
        <v>49</v>
      </c>
      <c r="G22" s="11" t="s">
        <v>43</v>
      </c>
      <c r="I22">
        <v>4</v>
      </c>
    </row>
    <row r="23" spans="2:9" ht="15.75" customHeight="1" x14ac:dyDescent="0.2"/>
    <row r="24" spans="2:9" ht="28.9" customHeight="1" x14ac:dyDescent="0.2">
      <c r="B24" s="27" t="s">
        <v>44</v>
      </c>
      <c r="C24" s="27" t="s">
        <v>42</v>
      </c>
      <c r="D24" s="27" t="s">
        <v>33</v>
      </c>
      <c r="E24" s="28" t="s">
        <v>45</v>
      </c>
      <c r="F24" s="28" t="s">
        <v>57</v>
      </c>
      <c r="G24" s="29"/>
      <c r="H24" s="27" t="s">
        <v>8</v>
      </c>
      <c r="I24" s="27" t="s">
        <v>58</v>
      </c>
    </row>
    <row r="25" spans="2:9" ht="15.75" customHeight="1" x14ac:dyDescent="0.2">
      <c r="B25" s="10"/>
      <c r="C25" s="12" t="s">
        <v>14</v>
      </c>
      <c r="D25" s="11"/>
      <c r="E25" s="11"/>
      <c r="F25" s="11"/>
      <c r="G25" s="12" t="s">
        <v>15</v>
      </c>
      <c r="H25" s="11"/>
      <c r="I25" s="13" t="s">
        <v>16</v>
      </c>
    </row>
    <row r="26" spans="2:9" ht="15.75" customHeight="1" x14ac:dyDescent="0.2">
      <c r="B26" s="11" t="s">
        <v>74</v>
      </c>
      <c r="C26" s="11" t="s">
        <v>72</v>
      </c>
      <c r="D26" s="11"/>
      <c r="E26" s="11"/>
      <c r="F26" s="11"/>
      <c r="G26" s="11" t="s">
        <v>64</v>
      </c>
      <c r="H26" s="11"/>
      <c r="I26" s="11">
        <v>3</v>
      </c>
    </row>
    <row r="27" spans="2:9" ht="15.75" customHeight="1" x14ac:dyDescent="0.2">
      <c r="B27" s="11" t="s">
        <v>75</v>
      </c>
      <c r="C27" s="11" t="s">
        <v>73</v>
      </c>
      <c r="G27" s="11" t="s">
        <v>64</v>
      </c>
      <c r="I27">
        <v>4</v>
      </c>
    </row>
    <row r="28" spans="2:9" ht="15.75" customHeight="1" x14ac:dyDescent="0.2"/>
    <row r="29" spans="2:9" ht="15.75" customHeight="1" x14ac:dyDescent="0.2"/>
    <row r="30" spans="2:9" ht="15.75" customHeight="1" x14ac:dyDescent="0.2"/>
    <row r="31" spans="2:9" ht="15.75" customHeight="1" x14ac:dyDescent="0.2"/>
    <row r="32" spans="2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</sheetData>
  <mergeCells count="1">
    <mergeCell ref="C9:F9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979"/>
  <sheetViews>
    <sheetView tabSelected="1" zoomScale="75" zoomScaleNormal="58" workbookViewId="0">
      <selection activeCell="O28" sqref="O28"/>
    </sheetView>
  </sheetViews>
  <sheetFormatPr baseColWidth="10" defaultColWidth="12.5703125" defaultRowHeight="15" customHeight="1" x14ac:dyDescent="0.2"/>
  <cols>
    <col min="1" max="1" width="12.42578125" customWidth="1"/>
    <col min="2" max="2" width="24.5703125" customWidth="1"/>
    <col min="3" max="3" width="12.42578125" customWidth="1"/>
  </cols>
  <sheetData>
    <row r="1" spans="1:11" ht="15.75" customHeight="1" x14ac:dyDescent="0.2"/>
    <row r="2" spans="1:11" ht="15.75" customHeight="1" x14ac:dyDescent="0.2"/>
    <row r="3" spans="1:11" ht="15.75" customHeight="1" x14ac:dyDescent="0.2">
      <c r="B3" s="3"/>
      <c r="C3" s="3" t="s">
        <v>16</v>
      </c>
      <c r="D3" s="24" t="s">
        <v>36</v>
      </c>
      <c r="E3" s="24" t="s">
        <v>35</v>
      </c>
      <c r="F3" s="24" t="s">
        <v>21</v>
      </c>
      <c r="G3" s="24" t="s">
        <v>22</v>
      </c>
      <c r="H3" s="24" t="s">
        <v>23</v>
      </c>
      <c r="I3" s="24" t="s">
        <v>24</v>
      </c>
      <c r="J3" s="24" t="s">
        <v>25</v>
      </c>
      <c r="K3" s="3" t="s">
        <v>26</v>
      </c>
    </row>
    <row r="4" spans="1:11" ht="15.75" customHeight="1" x14ac:dyDescent="0.2">
      <c r="B4" s="2" t="s">
        <v>17</v>
      </c>
      <c r="C4" s="5">
        <v>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1</v>
      </c>
      <c r="J4" s="4">
        <v>1</v>
      </c>
      <c r="K4" s="6">
        <f t="shared" ref="K4:K6" si="0">SUM(D4:J4)</f>
        <v>2</v>
      </c>
    </row>
    <row r="5" spans="1:11" ht="15.75" customHeight="1" x14ac:dyDescent="0.2">
      <c r="B5" s="2" t="s">
        <v>19</v>
      </c>
      <c r="C5" s="5">
        <v>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1</v>
      </c>
      <c r="J5" s="4">
        <v>1</v>
      </c>
      <c r="K5" s="6">
        <f t="shared" si="0"/>
        <v>2</v>
      </c>
    </row>
    <row r="6" spans="1:11" ht="15.75" customHeight="1" x14ac:dyDescent="0.2">
      <c r="A6" s="3"/>
      <c r="B6" s="2" t="s">
        <v>20</v>
      </c>
      <c r="C6" s="5">
        <v>2</v>
      </c>
      <c r="D6" s="4">
        <v>1</v>
      </c>
      <c r="E6" s="4">
        <v>0</v>
      </c>
      <c r="F6" s="4">
        <v>1</v>
      </c>
      <c r="G6" s="4">
        <v>1</v>
      </c>
      <c r="H6" s="4">
        <v>0</v>
      </c>
      <c r="I6" s="4">
        <v>0</v>
      </c>
      <c r="J6" s="4">
        <v>0</v>
      </c>
      <c r="K6" s="6">
        <f>SUM(D6:J6)</f>
        <v>3</v>
      </c>
    </row>
    <row r="7" spans="1:11" ht="15.75" customHeight="1" x14ac:dyDescent="0.2">
      <c r="A7" s="3"/>
      <c r="B7" s="2" t="s">
        <v>67</v>
      </c>
      <c r="C7" s="5">
        <v>4</v>
      </c>
      <c r="D7" s="4">
        <v>1</v>
      </c>
      <c r="E7" s="4">
        <v>1</v>
      </c>
      <c r="F7" s="4">
        <v>1</v>
      </c>
      <c r="G7" s="4">
        <v>1</v>
      </c>
      <c r="H7" s="4">
        <v>0</v>
      </c>
      <c r="I7" s="4">
        <v>0</v>
      </c>
      <c r="J7" s="4">
        <v>0</v>
      </c>
      <c r="K7" s="6"/>
    </row>
    <row r="8" spans="1:11" ht="15.75" customHeight="1" x14ac:dyDescent="0.2">
      <c r="A8" s="3"/>
      <c r="B8" s="2" t="s">
        <v>68</v>
      </c>
      <c r="C8" s="5">
        <v>4</v>
      </c>
      <c r="D8" s="4">
        <v>1</v>
      </c>
      <c r="E8" s="4">
        <v>1</v>
      </c>
      <c r="F8" s="4">
        <v>1</v>
      </c>
      <c r="G8" s="4">
        <v>1</v>
      </c>
      <c r="H8" s="4">
        <v>0</v>
      </c>
      <c r="I8" s="4">
        <v>0</v>
      </c>
      <c r="J8" s="4">
        <v>0</v>
      </c>
      <c r="K8" s="6"/>
    </row>
    <row r="9" spans="1:11" ht="15.75" customHeight="1" x14ac:dyDescent="0.2"/>
    <row r="10" spans="1:11" ht="15.75" customHeight="1" x14ac:dyDescent="0.2">
      <c r="B10" s="2" t="s">
        <v>29</v>
      </c>
      <c r="C10" s="5">
        <v>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1</v>
      </c>
      <c r="J10" s="4">
        <v>1</v>
      </c>
      <c r="K10" s="6">
        <f t="shared" ref="K10:K13" si="1">SUM(D10:J10)</f>
        <v>2</v>
      </c>
    </row>
    <row r="11" spans="1:11" ht="15.75" customHeight="1" x14ac:dyDescent="0.2">
      <c r="B11" s="2" t="s">
        <v>30</v>
      </c>
      <c r="C11" s="5">
        <v>5</v>
      </c>
      <c r="D11" s="4">
        <v>0</v>
      </c>
      <c r="E11" s="4">
        <v>0</v>
      </c>
      <c r="F11" s="4">
        <v>2</v>
      </c>
      <c r="G11" s="4">
        <v>1</v>
      </c>
      <c r="H11" s="4">
        <v>1</v>
      </c>
      <c r="I11" s="4">
        <v>1</v>
      </c>
      <c r="J11" s="4">
        <v>0</v>
      </c>
      <c r="K11" s="6">
        <f t="shared" si="1"/>
        <v>5</v>
      </c>
    </row>
    <row r="12" spans="1:11" ht="15.75" customHeight="1" x14ac:dyDescent="0.2">
      <c r="B12" s="2" t="s">
        <v>65</v>
      </c>
      <c r="C12" s="5">
        <v>4</v>
      </c>
      <c r="D12" s="4">
        <v>2</v>
      </c>
      <c r="E12" s="4">
        <v>2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6">
        <f t="shared" si="1"/>
        <v>4</v>
      </c>
    </row>
    <row r="13" spans="1:11" ht="15.75" customHeight="1" x14ac:dyDescent="0.2"/>
    <row r="14" spans="1:11" ht="15.75" customHeight="1" x14ac:dyDescent="0.2">
      <c r="B14" s="2" t="s">
        <v>32</v>
      </c>
      <c r="C14" s="5">
        <v>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1</v>
      </c>
      <c r="J14" s="4">
        <v>2</v>
      </c>
      <c r="K14" s="34">
        <f>SUM(D14:J14)</f>
        <v>3</v>
      </c>
    </row>
    <row r="15" spans="1:11" ht="15.75" customHeight="1" x14ac:dyDescent="0.2">
      <c r="B15" s="2" t="s">
        <v>50</v>
      </c>
      <c r="C15" s="5">
        <v>4</v>
      </c>
      <c r="D15" s="4">
        <v>0</v>
      </c>
      <c r="E15" s="4">
        <v>0</v>
      </c>
      <c r="F15" s="4">
        <v>0</v>
      </c>
      <c r="G15" s="4">
        <v>0</v>
      </c>
      <c r="H15" s="4">
        <v>2</v>
      </c>
      <c r="I15" s="4">
        <v>2</v>
      </c>
      <c r="J15" s="4">
        <v>0</v>
      </c>
      <c r="K15" s="34">
        <f>SUM(D15:J15)</f>
        <v>4</v>
      </c>
    </row>
    <row r="16" spans="1:11" ht="15.75" customHeight="1" x14ac:dyDescent="0.2"/>
    <row r="17" spans="2:11" ht="15.75" customHeight="1" x14ac:dyDescent="0.2">
      <c r="K17" s="22"/>
    </row>
    <row r="18" spans="2:11" ht="15.75" customHeight="1" x14ac:dyDescent="0.2">
      <c r="B18" s="2" t="s">
        <v>74</v>
      </c>
      <c r="C18" s="5">
        <v>3</v>
      </c>
      <c r="D18" s="4">
        <v>0</v>
      </c>
      <c r="E18" s="4">
        <v>0</v>
      </c>
      <c r="F18" s="4">
        <v>0</v>
      </c>
      <c r="G18" s="4">
        <v>0</v>
      </c>
      <c r="H18" s="4">
        <v>1</v>
      </c>
      <c r="I18" s="4">
        <v>1</v>
      </c>
      <c r="J18" s="4">
        <v>1</v>
      </c>
      <c r="K18" s="6">
        <f>SUM(D18:J18)</f>
        <v>3</v>
      </c>
    </row>
    <row r="19" spans="2:11" ht="15.75" customHeight="1" x14ac:dyDescent="0.2">
      <c r="B19" s="2" t="s">
        <v>75</v>
      </c>
      <c r="C19" s="5">
        <v>4</v>
      </c>
      <c r="D19">
        <v>0</v>
      </c>
      <c r="E19">
        <v>0</v>
      </c>
      <c r="F19">
        <v>2</v>
      </c>
      <c r="G19">
        <v>2</v>
      </c>
      <c r="H19">
        <v>0</v>
      </c>
      <c r="I19">
        <v>0</v>
      </c>
      <c r="J19">
        <v>0</v>
      </c>
      <c r="K19" s="6">
        <f>SUM(D19:J19)</f>
        <v>4</v>
      </c>
    </row>
    <row r="20" spans="2:11" ht="15.75" customHeight="1" x14ac:dyDescent="0.2">
      <c r="K20" s="22"/>
    </row>
    <row r="21" spans="2:11" ht="15.75" customHeight="1" x14ac:dyDescent="0.2">
      <c r="B21" s="7" t="s">
        <v>27</v>
      </c>
      <c r="C21">
        <f>SUM(C4:C19)</f>
        <v>39</v>
      </c>
      <c r="D21" s="3">
        <f>SUM(D4:D8,D10:D12,D14:D15, D18,D19)</f>
        <v>5</v>
      </c>
      <c r="E21" s="3">
        <f t="shared" ref="E21:J21" si="2">SUM(E4:E8,E10:E12,E14:E15, E18,E19)</f>
        <v>4</v>
      </c>
      <c r="F21" s="3">
        <f t="shared" si="2"/>
        <v>7</v>
      </c>
      <c r="G21" s="3">
        <f t="shared" si="2"/>
        <v>6</v>
      </c>
      <c r="H21" s="3">
        <f t="shared" si="2"/>
        <v>4</v>
      </c>
      <c r="I21" s="3">
        <f t="shared" si="2"/>
        <v>8</v>
      </c>
      <c r="J21" s="3">
        <f t="shared" si="2"/>
        <v>6</v>
      </c>
      <c r="K21" s="6">
        <f>SUM(D21:J21)</f>
        <v>40</v>
      </c>
    </row>
    <row r="22" spans="2:11" ht="15.75" customHeight="1" x14ac:dyDescent="0.2">
      <c r="B22" s="7" t="s">
        <v>28</v>
      </c>
      <c r="C22">
        <f>SUM(C4:C19)</f>
        <v>39</v>
      </c>
      <c r="D22" s="21">
        <f>C22-(SUM($C$4:$C$8,$C$10:$C$12,$C$14:$C$15,$C18:$C19,)/5)</f>
        <v>31.2</v>
      </c>
      <c r="E22" s="21">
        <f t="shared" ref="E22:J22" si="3">D22-(SUM($C$4:$C$8,$C$10:$C$12,$C$14:$C$15,$C18:$C19,)/5)</f>
        <v>23.4</v>
      </c>
      <c r="F22" s="21">
        <f t="shared" si="3"/>
        <v>15.599999999999998</v>
      </c>
      <c r="G22" s="21">
        <f t="shared" si="3"/>
        <v>7.799999999999998</v>
      </c>
      <c r="H22" s="21">
        <f t="shared" si="3"/>
        <v>0</v>
      </c>
      <c r="I22" s="21">
        <f t="shared" si="3"/>
        <v>-7.8</v>
      </c>
      <c r="J22" s="21">
        <f t="shared" si="3"/>
        <v>-15.6</v>
      </c>
      <c r="K22" s="6">
        <f>SUM(D22:J22)</f>
        <v>54.599999999999987</v>
      </c>
    </row>
    <row r="23" spans="2:11" ht="15.75" customHeight="1" x14ac:dyDescent="0.2"/>
    <row r="24" spans="2:11" ht="15.75" customHeight="1" x14ac:dyDescent="0.2"/>
    <row r="25" spans="2:11" ht="15.75" customHeight="1" x14ac:dyDescent="0.2"/>
    <row r="26" spans="2:11" ht="15.75" customHeight="1" x14ac:dyDescent="0.2">
      <c r="B26" s="16"/>
      <c r="C26" s="3"/>
    </row>
    <row r="27" spans="2:11" ht="15.75" customHeight="1" x14ac:dyDescent="0.2"/>
    <row r="28" spans="2:11" ht="15.75" customHeight="1" x14ac:dyDescent="0.2">
      <c r="B28" s="16"/>
      <c r="C28" s="3"/>
    </row>
    <row r="29" spans="2:11" ht="15.75" customHeight="1" x14ac:dyDescent="0.2">
      <c r="B29" s="16"/>
      <c r="C29" s="3"/>
    </row>
    <row r="30" spans="2:11" ht="15.75" customHeight="1" x14ac:dyDescent="0.2"/>
    <row r="31" spans="2:11" ht="15.75" customHeight="1" x14ac:dyDescent="0.2">
      <c r="B31" s="23"/>
      <c r="C31" s="23"/>
    </row>
    <row r="32" spans="2:11" ht="15.75" customHeight="1" x14ac:dyDescent="0.2">
      <c r="B32" s="23"/>
      <c r="C32" s="23"/>
    </row>
    <row r="33" spans="2:3" ht="15.75" customHeight="1" x14ac:dyDescent="0.2">
      <c r="B33" s="23"/>
      <c r="C33" s="23"/>
    </row>
    <row r="34" spans="2:3" ht="15.75" customHeight="1" x14ac:dyDescent="0.2">
      <c r="B34" s="23"/>
      <c r="C34" s="23"/>
    </row>
    <row r="35" spans="2:3" ht="15.75" customHeight="1" x14ac:dyDescent="0.2">
      <c r="B35" s="23"/>
      <c r="C35" s="23"/>
    </row>
    <row r="36" spans="2:3" ht="15.75" customHeight="1" x14ac:dyDescent="0.2">
      <c r="B36" s="23"/>
      <c r="C36" s="23"/>
    </row>
    <row r="37" spans="2:3" ht="15.75" customHeight="1" x14ac:dyDescent="0.2">
      <c r="B37" s="23"/>
      <c r="C37" s="23"/>
    </row>
    <row r="38" spans="2:3" ht="15.75" customHeight="1" x14ac:dyDescent="0.2">
      <c r="B38" s="23"/>
      <c r="C38" s="23"/>
    </row>
    <row r="39" spans="2:3" ht="15.75" customHeight="1" x14ac:dyDescent="0.2"/>
    <row r="40" spans="2:3" ht="15.75" customHeight="1" x14ac:dyDescent="0.2"/>
    <row r="41" spans="2:3" ht="15.75" customHeight="1" x14ac:dyDescent="0.2"/>
    <row r="42" spans="2:3" ht="15.75" customHeight="1" x14ac:dyDescent="0.2"/>
    <row r="43" spans="2:3" ht="15.75" customHeight="1" x14ac:dyDescent="0.2"/>
    <row r="44" spans="2:3" ht="15.75" customHeight="1" x14ac:dyDescent="0.2"/>
    <row r="45" spans="2:3" ht="15.75" customHeight="1" x14ac:dyDescent="0.2"/>
    <row r="46" spans="2:3" ht="15.75" customHeight="1" x14ac:dyDescent="0.2"/>
    <row r="47" spans="2:3" ht="15.75" customHeight="1" x14ac:dyDescent="0.2"/>
    <row r="48" spans="2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</sheetData>
  <phoneticPr fontId="4" type="noConversion"/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2023-06-05T13:12:31Z</dcterms:created>
  <dcterms:modified xsi:type="dcterms:W3CDTF">2025-12-10T05:38:31Z</dcterms:modified>
</cp:coreProperties>
</file>