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AE198985-F86A-4167-9EA4-8A0FB8704E43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9"/>
</workbook>
</file>

<file path=xl/calcChain.xml><?xml version="1.0" encoding="utf-8"?>
<calcChain xmlns="http://schemas.openxmlformats.org/spreadsheetml/2006/main">
  <c r="D28" i="3" l="1"/>
  <c r="E28" i="3" s="1"/>
  <c r="F28" i="3" s="1"/>
  <c r="G28" i="3" s="1"/>
  <c r="H28" i="3" s="1"/>
  <c r="I28" i="3" s="1"/>
  <c r="J28" i="3" s="1"/>
  <c r="D29" i="3"/>
  <c r="E29" i="3" s="1"/>
  <c r="F29" i="3" s="1"/>
  <c r="G29" i="3" s="1"/>
  <c r="H29" i="3" s="1"/>
  <c r="I29" i="3" s="1"/>
  <c r="J29" i="3" s="1"/>
  <c r="C28" i="3"/>
  <c r="C29" i="3"/>
  <c r="K29" i="3" l="1"/>
  <c r="K28" i="3"/>
</calcChain>
</file>

<file path=xl/sharedStrings.xml><?xml version="1.0" encoding="utf-8"?>
<sst xmlns="http://schemas.openxmlformats.org/spreadsheetml/2006/main" count="186" uniqueCount="92">
  <si>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</si>
  <si>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</si>
  <si>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</si>
  <si>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</si>
  <si>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</si>
  <si>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</si>
  <si>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</si>
  <si>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</si>
  <si>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</si>
  <si>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</si>
  <si>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</si>
  <si>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</si>
  <si>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</si>
  <si>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</si>
  <si>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</si>
  <si>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</si>
  <si>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</si>
  <si>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</si>
  <si>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 formulario para iniciar sesión.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</si>
  <si>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</si>
  <si>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</si>
  <si>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</si>
  <si>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</si>
  <si>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</si>
  <si>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</si>
  <si>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</si>
  <si>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</si>
  <si>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</si>
  <si>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</si>
  <si>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REQ002-1</t>
  </si>
  <si>
    <t>REQ002-2</t>
  </si>
  <si>
    <t>Sebastian Medina</t>
  </si>
  <si>
    <t>REQ003-1</t>
  </si>
  <si>
    <t>Administrador</t>
  </si>
  <si>
    <t>SPRINT 1</t>
  </si>
  <si>
    <t>Día 6</t>
  </si>
  <si>
    <t>Día 7</t>
  </si>
  <si>
    <t xml:space="preserve">Diferenciación de usuarios, ingreso por credenciales </t>
  </si>
  <si>
    <t xml:space="preserve"> Tener acceso por credenciales y diferenciar roles</t>
  </si>
  <si>
    <t xml:space="preserve">Garantizar que el sistema y la información que se ingresa dentro de él pueda ser 
vista solo por el Administrador </t>
  </si>
  <si>
    <t>REQ002</t>
  </si>
  <si>
    <t>REQ003</t>
  </si>
  <si>
    <t xml:space="preserve">Generación de informes de forma periódica </t>
  </si>
  <si>
    <t>Benjamín López</t>
  </si>
  <si>
    <t>REQ004</t>
  </si>
  <si>
    <t>Generar informes acerca de cantidad de
productos ingresados y proveedores</t>
  </si>
  <si>
    <t>Permitir al usuario ingresar criterios de búsqueda 
y filtrado sobre la información extraida.</t>
  </si>
  <si>
    <t xml:space="preserve">Validación de inicio de sesión en la base de datos, la validación de estos tendrá un límite de intento para preservar la seguridad del sistema </t>
  </si>
  <si>
    <t>Interfaz de filtros</t>
  </si>
  <si>
    <t>(ingresar criterios de búsqueda y filtrado sobre la información extraida)</t>
  </si>
  <si>
    <t>REQ003-2</t>
  </si>
  <si>
    <t>Apartado de carga y eliminacion de archivos</t>
  </si>
  <si>
    <t>Consulta y Búsqueda de archivos</t>
  </si>
  <si>
    <t>Reflejar un apartado para la carga y eliminacion de archivos de donde se saca la informacion</t>
  </si>
  <si>
    <t>Muestren las opciones de carga de archivos, y un botón  para la eliminación de archivos en caso de carga errónea.</t>
  </si>
  <si>
    <t>un apartado (interfaz) en donde permita realizar la busqueda mediante filtros de relevancia</t>
  </si>
  <si>
    <t>Acceder a la interfaz de filtrado, en donde podrá buscar mediante filtros el número de lote, proveedor o producto que se requiera.</t>
  </si>
  <si>
    <t>Crear informes en formato excel y pdf que establezcan tendencias referente a los datos</t>
  </si>
  <si>
    <t>En proceso</t>
  </si>
  <si>
    <t>Crear la interfaz de incio de sesión</t>
  </si>
  <si>
    <t xml:space="preserve">	Maquetar la subida de archivos pdf</t>
  </si>
  <si>
    <t>Tener acceso por credenciales y diferenciar roles</t>
  </si>
  <si>
    <t>Reflejar un apartado para la carga y eliminacion de 
archivos de donde se saca la informacion</t>
  </si>
  <si>
    <t>Muestrar las opciones de carga de archivos, y un botón  para la eliminación de archivos en caso de carga errónea.</t>
  </si>
  <si>
    <t>Nayely Simbaña</t>
  </si>
  <si>
    <t>REQ002-3</t>
  </si>
  <si>
    <t xml:space="preserve">Diseñar la seccion de elminación de datos	</t>
  </si>
  <si>
    <t>REQ001-4</t>
  </si>
  <si>
    <t>REQ001-5</t>
  </si>
  <si>
    <t>Campo y fomrulario de registro de cuenta en caso de no tener una</t>
  </si>
  <si>
    <t>Campo y fomrmaulario de recuperacion de cuentaen caso de olvidar la contraseña</t>
  </si>
  <si>
    <t xml:space="preserve">Diseñar la detección automática de datos	</t>
  </si>
  <si>
    <t>Interfaz de exportacion en formato pdf o excel</t>
  </si>
  <si>
    <t>criterios de búsqueda y filtrado sobre la información extraida</t>
  </si>
  <si>
    <t>Sprint 0</t>
  </si>
  <si>
    <t>Sprint 1</t>
  </si>
  <si>
    <t>REQ</t>
  </si>
  <si>
    <t>Terminado</t>
  </si>
  <si>
    <t>No inciado</t>
  </si>
  <si>
    <t>Detección de datos</t>
  </si>
  <si>
    <t>Creación de bases de datos para guardar usuarios y datos</t>
  </si>
  <si>
    <t>Tener un algoritmo de extracción automáticas de lote, proveedor, producto yb fecha de vencimiento</t>
  </si>
  <si>
    <t>mediante un algoritmo de reconocimiento extraer  los datos requeridos por el usuario rápidamente</t>
  </si>
  <si>
    <t>podrá crear su usuario o en caso de que haya olvidado su contraseña este podrá recuperarla meniante su correo electrónico</t>
  </si>
  <si>
    <t>Tener la capacidad de guardar los datos de los usuarios del programa, y deferenciarlos según el rol asignado por el administrador</t>
  </si>
  <si>
    <t>REQ005</t>
  </si>
  <si>
    <t>REQ006</t>
  </si>
  <si>
    <t>Tener la capacidad de guardar los datos de los usuarios del programa, y 
deferenciarlos según el rol asignado por el administrador</t>
  </si>
  <si>
    <t>Tener un algoritmo de extracción automática de lote, proveedor, producto y fecha de vencimiento</t>
  </si>
  <si>
    <t>REQ005-1</t>
  </si>
  <si>
    <t>Creación de base de datos para guardar usuarios y datos</t>
  </si>
  <si>
    <t>REQ006-1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</si>
</sst>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scheme val="minor"/>
    </font>
    <font>
      <sz val="11"/>
      <color theme="1"/>
      <name val="Arial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3" fillId="0" borderId="1" xfId="0" applyFont="1" applyBorder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6" borderId="0" xfId="0" applyFont="1" applyFill="1"/>
    <xf numFmtId="0" fontId="12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4:K6" headerRowCount="0" totalsRowShown="0">
  <tableColumns count="1">
    <tableColumn id="1" xr3:uid="{00000000-0010-0000-0000-000001000000}" name="Column1" totalsRowDxfId="1">
      <calculatedColumnFormula>SUM(D4:J4)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K8:K10" headerRowCount="0" totalsRowShown="0">
  <tableColumns count="1">
    <tableColumn id="1" xr3:uid="{00000000-0010-0000-0100-000001000000}" name="Column1" totalsRowDxfId="0">
      <calculatedColumnFormula>SUM(D8:J8)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2"/>
  <sheetViews>
    <sheetView zoomScale="70" zoomScaleNormal="70" workbookViewId="0">
      <selection activeCell="B16" sqref="B16"/>
    </sheetView>
  </sheetViews>
  <sheetFormatPr baseColWidth="10" defaultColWidth="12.5546875" defaultRowHeight="15" customHeight="1" x14ac:dyDescent="0.4"/>
  <cols>
    <col min="1" max="1" width="12.44140625" customWidth="1"/>
    <col min="2" max="2" width="48.44140625" bestFit="1" customWidth="1"/>
    <col min="3" max="3" width="36" customWidth="1"/>
    <col min="4" max="4" width="37.609375" bestFit="1" customWidth="1"/>
    <col min="5" max="5" width="66" bestFit="1" customWidth="1"/>
    <col min="6" max="26" width="12.44140625" customWidth="1"/>
  </cols>
  <sheetData>
    <row r="1" spans="1:8" s="9" customFormat="1" ht="15.75" customHeight="1" x14ac:dyDescent="0.5">
      <c r="A1" s="8" t="s">
        <v>9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</row>
    <row r="2" spans="1:8" s="11" customFormat="1" ht="15.75" customHeight="1" x14ac:dyDescent="0.4">
      <c r="A2" s="30" t="s">
        <v>34</v>
      </c>
      <c r="B2" s="30"/>
      <c r="C2" s="30"/>
      <c r="D2" s="30"/>
      <c r="E2" s="30"/>
      <c r="F2" s="30"/>
      <c r="G2" s="30"/>
      <c r="H2" s="30"/>
    </row>
    <row r="3" spans="1:8" ht="38.700000000000003" customHeight="1" x14ac:dyDescent="0.4">
      <c r="A3" s="14" t="s">
        <v>7</v>
      </c>
      <c r="B3" s="14" t="s">
        <v>37</v>
      </c>
      <c r="C3" s="14" t="s">
        <v>33</v>
      </c>
      <c r="D3" s="25" t="s">
        <v>38</v>
      </c>
      <c r="E3" s="25" t="s">
        <v>39</v>
      </c>
      <c r="F3" s="15"/>
      <c r="G3" s="14" t="s">
        <v>8</v>
      </c>
      <c r="H3" s="14" t="s">
        <v>77</v>
      </c>
    </row>
    <row r="4" spans="1:8" ht="36.9" x14ac:dyDescent="0.4">
      <c r="A4" s="14" t="s">
        <v>40</v>
      </c>
      <c r="B4" s="14" t="s">
        <v>51</v>
      </c>
      <c r="C4" s="14" t="s">
        <v>33</v>
      </c>
      <c r="D4" s="25" t="s">
        <v>53</v>
      </c>
      <c r="E4" s="25" t="s">
        <v>54</v>
      </c>
      <c r="F4" s="14"/>
      <c r="G4" s="14" t="s">
        <v>8</v>
      </c>
      <c r="H4" s="14" t="s">
        <v>77</v>
      </c>
    </row>
    <row r="5" spans="1:8" ht="42" customHeight="1" x14ac:dyDescent="0.4">
      <c r="A5" s="14" t="s">
        <v>41</v>
      </c>
      <c r="B5" s="14" t="s">
        <v>52</v>
      </c>
      <c r="C5" s="14" t="s">
        <v>33</v>
      </c>
      <c r="D5" s="25" t="s">
        <v>55</v>
      </c>
      <c r="E5" s="25" t="s">
        <v>56</v>
      </c>
      <c r="F5" s="15"/>
      <c r="G5" s="14" t="s">
        <v>8</v>
      </c>
      <c r="H5" s="14" t="s">
        <v>77</v>
      </c>
    </row>
    <row r="6" spans="1:8" ht="38.1" customHeight="1" x14ac:dyDescent="0.4">
      <c r="A6" s="14" t="s">
        <v>44</v>
      </c>
      <c r="B6" s="14" t="s">
        <v>42</v>
      </c>
      <c r="C6" s="14" t="s">
        <v>33</v>
      </c>
      <c r="D6" s="25" t="s">
        <v>45</v>
      </c>
      <c r="E6" s="25" t="s">
        <v>57</v>
      </c>
      <c r="F6" s="15"/>
      <c r="G6" s="14" t="s">
        <v>8</v>
      </c>
      <c r="H6" s="14" t="s">
        <v>77</v>
      </c>
    </row>
    <row r="7" spans="1:8" ht="51.9" customHeight="1" x14ac:dyDescent="0.4">
      <c r="A7" s="14" t="s">
        <v>85</v>
      </c>
      <c r="B7" s="14" t="s">
        <v>79</v>
      </c>
      <c r="C7" s="14" t="s">
        <v>33</v>
      </c>
      <c r="D7" s="25" t="s">
        <v>81</v>
      </c>
      <c r="E7" s="25" t="s">
        <v>82</v>
      </c>
      <c r="F7" s="15"/>
      <c r="G7" s="14" t="s">
        <v>8</v>
      </c>
      <c r="H7" s="14" t="s">
        <v>78</v>
      </c>
    </row>
    <row r="8" spans="1:8" ht="58.2" customHeight="1" x14ac:dyDescent="0.4">
      <c r="A8" s="14" t="s">
        <v>86</v>
      </c>
      <c r="B8" s="14" t="s">
        <v>80</v>
      </c>
      <c r="C8" s="14" t="s">
        <v>33</v>
      </c>
      <c r="D8" s="25" t="s">
        <v>84</v>
      </c>
      <c r="E8" s="25" t="s">
        <v>83</v>
      </c>
      <c r="F8" s="15"/>
      <c r="G8" s="14" t="s">
        <v>8</v>
      </c>
      <c r="H8" s="14" t="s">
        <v>78</v>
      </c>
    </row>
    <row r="9" spans="1:8" ht="15.75" customHeight="1" x14ac:dyDescent="0.4">
      <c r="A9" s="31" t="s">
        <v>76</v>
      </c>
      <c r="B9" s="31"/>
      <c r="C9" s="31"/>
      <c r="D9" s="31"/>
      <c r="E9" s="31"/>
      <c r="F9" s="31"/>
      <c r="G9" s="31"/>
      <c r="H9" s="31"/>
    </row>
    <row r="10" spans="1:8" ht="12.3" x14ac:dyDescent="0.4">
      <c r="A10" s="17"/>
      <c r="B10" s="17"/>
      <c r="C10" s="17"/>
      <c r="D10" s="20"/>
      <c r="E10" s="18"/>
      <c r="F10" s="19"/>
      <c r="G10" s="17"/>
      <c r="H10" s="17"/>
    </row>
    <row r="11" spans="1:8" ht="15.75" customHeight="1" x14ac:dyDescent="0.4">
      <c r="A11" s="14"/>
      <c r="B11" s="17"/>
      <c r="C11" s="17"/>
      <c r="D11" s="17"/>
      <c r="E11" s="17"/>
      <c r="F11" s="19"/>
      <c r="G11" s="17"/>
      <c r="H11" s="17"/>
    </row>
    <row r="12" spans="1:8" ht="15.75" customHeight="1" x14ac:dyDescent="0.4">
      <c r="A12" s="31"/>
      <c r="B12" s="31"/>
      <c r="C12" s="31"/>
      <c r="D12" s="31"/>
      <c r="E12" s="31"/>
      <c r="F12" s="31"/>
      <c r="G12" s="31"/>
      <c r="H12" s="31"/>
    </row>
    <row r="13" spans="1:8" ht="15.75" customHeight="1" x14ac:dyDescent="0.4">
      <c r="A13" s="17"/>
      <c r="B13" s="17"/>
      <c r="C13" s="17"/>
    </row>
    <row r="14" spans="1:8" ht="15.75" customHeight="1" x14ac:dyDescent="0.4">
      <c r="A14" s="30"/>
      <c r="B14" s="30"/>
      <c r="C14" s="30"/>
      <c r="D14" s="30"/>
      <c r="E14" s="30"/>
      <c r="F14" s="30"/>
      <c r="G14" s="30"/>
      <c r="H14" s="30"/>
    </row>
    <row r="15" spans="1:8" ht="15.75" customHeight="1" x14ac:dyDescent="0.4">
      <c r="A15" s="14"/>
      <c r="B15" s="14"/>
      <c r="C15" s="14"/>
      <c r="D15" s="14"/>
      <c r="E15" s="14"/>
      <c r="F15" s="15"/>
      <c r="G15" s="14"/>
      <c r="H15" s="14"/>
    </row>
    <row r="16" spans="1:8" ht="15.75" customHeight="1" x14ac:dyDescent="0.4">
      <c r="A16" s="14"/>
      <c r="B16" s="14"/>
      <c r="C16" s="14"/>
      <c r="D16" s="14"/>
      <c r="E16" s="14"/>
      <c r="F16" s="14"/>
      <c r="G16" s="14"/>
      <c r="H16" s="14"/>
    </row>
    <row r="17" spans="1:8" ht="15.75" customHeight="1" x14ac:dyDescent="0.4">
      <c r="A17" s="14"/>
      <c r="B17" s="14"/>
      <c r="C17" s="14"/>
      <c r="D17" s="14"/>
      <c r="E17" s="14"/>
      <c r="F17" s="15"/>
      <c r="G17" s="14"/>
      <c r="H17" s="14"/>
    </row>
    <row r="18" spans="1:8" ht="15.75" customHeight="1" x14ac:dyDescent="0.4">
      <c r="A18" s="14"/>
      <c r="B18" s="14"/>
      <c r="C18" s="14"/>
      <c r="D18" s="14"/>
      <c r="E18" s="14"/>
      <c r="F18" s="15"/>
      <c r="G18" s="14"/>
      <c r="H18" s="14"/>
    </row>
    <row r="19" spans="1:8" ht="15.75" customHeight="1" x14ac:dyDescent="0.4"/>
    <row r="20" spans="1:8" ht="15.75" customHeight="1" x14ac:dyDescent="0.4"/>
    <row r="21" spans="1:8" ht="15.75" customHeight="1" x14ac:dyDescent="0.4"/>
    <row r="22" spans="1:8" ht="15.75" customHeight="1" x14ac:dyDescent="0.4"/>
    <row r="23" spans="1:8" ht="15.75" customHeight="1" x14ac:dyDescent="0.4"/>
    <row r="24" spans="1:8" ht="15.75" customHeight="1" x14ac:dyDescent="0.4"/>
    <row r="25" spans="1:8" ht="15.75" customHeight="1" x14ac:dyDescent="0.4"/>
    <row r="26" spans="1:8" ht="15.75" customHeight="1" x14ac:dyDescent="0.4"/>
    <row r="27" spans="1:8" ht="15.75" customHeight="1" x14ac:dyDescent="0.4"/>
    <row r="28" spans="1:8" ht="15.75" customHeight="1" x14ac:dyDescent="0.4"/>
    <row r="29" spans="1:8" ht="15.75" customHeight="1" x14ac:dyDescent="0.4"/>
    <row r="30" spans="1:8" ht="15.75" customHeight="1" x14ac:dyDescent="0.4"/>
    <row r="31" spans="1:8" ht="15.75" customHeight="1" x14ac:dyDescent="0.4"/>
    <row r="32" spans="1:8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  <row r="1001" ht="15.75" customHeight="1" x14ac:dyDescent="0.4"/>
    <row r="1002" ht="15.75" customHeight="1" x14ac:dyDescent="0.4"/>
  </sheetData>
  <mergeCells count="4">
    <mergeCell ref="A2:H2"/>
    <mergeCell ref="A9:H9"/>
    <mergeCell ref="A12:H12"/>
    <mergeCell ref="A14:H14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21"/>
  <sheetViews>
    <sheetView tabSelected="1" topLeftCell="A25" zoomScale="70" workbookViewId="0">
      <selection activeCell="F49" sqref="F49"/>
    </sheetView>
  </sheetViews>
  <sheetFormatPr baseColWidth="10" defaultColWidth="12.5546875" defaultRowHeight="15" customHeight="1" x14ac:dyDescent="0.4"/>
  <cols>
    <col min="1" max="2" width="12.44140625" customWidth="1"/>
    <col min="3" max="3" width="67.609375" bestFit="1" customWidth="1"/>
    <col min="4" max="4" width="18.609375" customWidth="1"/>
    <col min="5" max="5" width="77.33203125" bestFit="1" customWidth="1"/>
    <col min="6" max="6" width="56.38671875" customWidth="1"/>
    <col min="7" max="7" width="15.21875" bestFit="1" customWidth="1"/>
    <col min="8" max="26" width="12.44140625" customWidth="1"/>
  </cols>
  <sheetData>
    <row r="1" spans="2:9" ht="15.75" customHeight="1" x14ac:dyDescent="0.4"/>
    <row r="2" spans="2:9" ht="15.75" customHeight="1" x14ac:dyDescent="0.4">
      <c r="B2" t="s">
        <v>74</v>
      </c>
    </row>
    <row r="3" spans="2:9" ht="15.75" customHeight="1" x14ac:dyDescent="0.4"/>
    <row r="4" spans="2:9" s="11" customFormat="1" ht="15.75" customHeight="1" x14ac:dyDescent="0.4">
      <c r="B4" s="1" t="s">
        <v>9</v>
      </c>
      <c r="C4" s="1" t="s">
        <v>0</v>
      </c>
      <c r="D4" s="1" t="s">
        <v>1</v>
      </c>
      <c r="E4" s="1" t="s">
        <v>10</v>
      </c>
      <c r="F4" s="1" t="s">
        <v>11</v>
      </c>
      <c r="G4" s="1" t="s">
        <v>4</v>
      </c>
      <c r="H4" s="1" t="s">
        <v>12</v>
      </c>
      <c r="I4" s="1" t="s">
        <v>13</v>
      </c>
    </row>
    <row r="5" spans="2:9" s="11" customFormat="1" ht="36.9" x14ac:dyDescent="0.4">
      <c r="B5" s="27" t="s">
        <v>7</v>
      </c>
      <c r="C5" s="27" t="s">
        <v>37</v>
      </c>
      <c r="D5" s="27" t="s">
        <v>33</v>
      </c>
      <c r="E5" s="27" t="s">
        <v>61</v>
      </c>
      <c r="F5" s="28" t="s">
        <v>39</v>
      </c>
      <c r="G5" s="29"/>
      <c r="H5" s="27" t="s">
        <v>8</v>
      </c>
      <c r="I5" s="27" t="s">
        <v>58</v>
      </c>
    </row>
    <row r="6" spans="2:9" s="11" customFormat="1" ht="15.75" customHeight="1" x14ac:dyDescent="0.4">
      <c r="B6" s="10"/>
      <c r="C6" s="12" t="s">
        <v>14</v>
      </c>
      <c r="D6" s="10"/>
      <c r="E6" s="10"/>
      <c r="F6" s="10"/>
      <c r="G6" s="12" t="s">
        <v>15</v>
      </c>
      <c r="H6" s="10"/>
      <c r="I6" s="12" t="s">
        <v>16</v>
      </c>
    </row>
    <row r="7" spans="2:9" s="11" customFormat="1" ht="15.75" customHeight="1" x14ac:dyDescent="0.4">
      <c r="B7" s="10" t="s">
        <v>17</v>
      </c>
      <c r="C7" s="10" t="s">
        <v>59</v>
      </c>
      <c r="G7" s="10" t="s">
        <v>31</v>
      </c>
      <c r="H7" s="10"/>
      <c r="I7" s="13">
        <v>2</v>
      </c>
    </row>
    <row r="8" spans="2:9" s="11" customFormat="1" ht="15.75" customHeight="1" x14ac:dyDescent="0.4">
      <c r="B8" s="10" t="s">
        <v>19</v>
      </c>
      <c r="C8" s="10" t="s">
        <v>18</v>
      </c>
      <c r="G8" s="10" t="s">
        <v>31</v>
      </c>
      <c r="H8" s="10"/>
      <c r="I8" s="13">
        <v>2</v>
      </c>
    </row>
    <row r="9" spans="2:9" ht="15.6" customHeight="1" x14ac:dyDescent="0.4">
      <c r="B9" s="10" t="s">
        <v>20</v>
      </c>
      <c r="C9" s="32" t="s">
        <v>47</v>
      </c>
      <c r="D9" s="33"/>
      <c r="E9" s="33"/>
      <c r="F9" s="33"/>
      <c r="G9" s="10" t="s">
        <v>31</v>
      </c>
      <c r="H9" s="10"/>
      <c r="I9" s="13">
        <v>2</v>
      </c>
    </row>
    <row r="10" spans="2:9" ht="15.6" customHeight="1" x14ac:dyDescent="0.4">
      <c r="B10" s="10" t="s">
        <v>67</v>
      </c>
      <c r="C10" s="10" t="s">
        <v>69</v>
      </c>
      <c r="D10" s="11"/>
      <c r="E10" s="11"/>
      <c r="F10" s="11"/>
      <c r="G10" s="10" t="s">
        <v>31</v>
      </c>
      <c r="H10" s="10"/>
      <c r="I10" s="13">
        <v>4</v>
      </c>
    </row>
    <row r="11" spans="2:9" ht="15.6" customHeight="1" x14ac:dyDescent="0.4">
      <c r="B11" s="10" t="s">
        <v>68</v>
      </c>
      <c r="C11" s="10" t="s">
        <v>70</v>
      </c>
      <c r="D11" s="11"/>
      <c r="E11" s="11"/>
      <c r="F11" s="11"/>
      <c r="G11" s="10" t="s">
        <v>31</v>
      </c>
      <c r="H11" s="10"/>
      <c r="I11" s="13">
        <v>4</v>
      </c>
    </row>
    <row r="12" spans="2:9" ht="15.75" customHeight="1" x14ac:dyDescent="0.4">
      <c r="B12" s="10"/>
      <c r="C12" s="10"/>
      <c r="D12" s="11"/>
      <c r="E12" s="11"/>
      <c r="F12" s="11"/>
      <c r="G12" s="10"/>
      <c r="H12" s="10"/>
      <c r="I12" s="13"/>
    </row>
    <row r="13" spans="2:9" ht="44.4" customHeight="1" x14ac:dyDescent="0.4">
      <c r="B13" s="27" t="s">
        <v>40</v>
      </c>
      <c r="C13" s="27" t="s">
        <v>51</v>
      </c>
      <c r="D13" s="27" t="s">
        <v>33</v>
      </c>
      <c r="E13" s="27" t="s">
        <v>62</v>
      </c>
      <c r="F13" s="28" t="s">
        <v>63</v>
      </c>
      <c r="G13" s="29"/>
      <c r="H13" s="27" t="s">
        <v>8</v>
      </c>
      <c r="I13" s="27" t="s">
        <v>58</v>
      </c>
    </row>
    <row r="14" spans="2:9" ht="15.75" customHeight="1" x14ac:dyDescent="0.4">
      <c r="B14" s="10"/>
      <c r="C14" s="12" t="s">
        <v>14</v>
      </c>
      <c r="D14" s="11"/>
      <c r="E14" s="11"/>
      <c r="F14" s="11"/>
      <c r="G14" s="12" t="s">
        <v>15</v>
      </c>
      <c r="H14" s="11"/>
      <c r="I14" s="13" t="s">
        <v>16</v>
      </c>
    </row>
    <row r="15" spans="2:9" ht="15.75" customHeight="1" x14ac:dyDescent="0.4">
      <c r="B15" s="11" t="s">
        <v>29</v>
      </c>
      <c r="C15" s="11" t="s">
        <v>60</v>
      </c>
      <c r="D15" s="11"/>
      <c r="E15" s="11"/>
      <c r="F15" s="11"/>
      <c r="G15" s="11" t="s">
        <v>43</v>
      </c>
      <c r="H15" s="11"/>
      <c r="I15" s="11">
        <v>2</v>
      </c>
    </row>
    <row r="16" spans="2:9" ht="15.75" customHeight="1" x14ac:dyDescent="0.4">
      <c r="B16" s="11" t="s">
        <v>30</v>
      </c>
      <c r="C16" s="11" t="s">
        <v>71</v>
      </c>
      <c r="D16" s="11"/>
      <c r="E16" s="11"/>
      <c r="F16" s="11"/>
      <c r="G16" s="11" t="s">
        <v>43</v>
      </c>
      <c r="H16" s="11"/>
      <c r="I16" s="11">
        <v>5</v>
      </c>
    </row>
    <row r="17" spans="2:9" ht="15.6" customHeight="1" x14ac:dyDescent="0.4">
      <c r="B17" s="11" t="s">
        <v>65</v>
      </c>
      <c r="C17" s="11" t="s">
        <v>66</v>
      </c>
      <c r="D17" s="11"/>
      <c r="E17" s="11"/>
      <c r="F17" s="11"/>
      <c r="G17" s="11" t="s">
        <v>43</v>
      </c>
      <c r="H17" s="11"/>
      <c r="I17" s="11">
        <v>4</v>
      </c>
    </row>
    <row r="18" spans="2:9" ht="15.75" customHeight="1" x14ac:dyDescent="0.4">
      <c r="B18" s="11"/>
      <c r="C18" s="26"/>
      <c r="D18" s="26"/>
      <c r="E18" s="26"/>
      <c r="F18" s="26"/>
      <c r="G18" s="11"/>
      <c r="H18" s="11"/>
      <c r="I18" s="11"/>
    </row>
    <row r="19" spans="2:9" ht="32.700000000000003" customHeight="1" x14ac:dyDescent="0.4">
      <c r="B19" s="27" t="s">
        <v>41</v>
      </c>
      <c r="C19" s="27" t="s">
        <v>52</v>
      </c>
      <c r="D19" s="27" t="s">
        <v>33</v>
      </c>
      <c r="E19" s="28" t="s">
        <v>46</v>
      </c>
      <c r="F19" s="28" t="s">
        <v>56</v>
      </c>
      <c r="G19" s="29"/>
      <c r="H19" s="27" t="s">
        <v>8</v>
      </c>
      <c r="I19" s="27" t="s">
        <v>58</v>
      </c>
    </row>
    <row r="20" spans="2:9" ht="15" customHeight="1" x14ac:dyDescent="0.4">
      <c r="B20" s="10"/>
      <c r="C20" s="12" t="s">
        <v>14</v>
      </c>
      <c r="D20" s="11"/>
      <c r="E20" s="11"/>
      <c r="F20" s="11"/>
      <c r="G20" s="12" t="s">
        <v>15</v>
      </c>
      <c r="H20" s="11"/>
      <c r="I20" s="13" t="s">
        <v>16</v>
      </c>
    </row>
    <row r="21" spans="2:9" ht="15" customHeight="1" x14ac:dyDescent="0.4">
      <c r="B21" s="11" t="s">
        <v>32</v>
      </c>
      <c r="C21" s="11" t="s">
        <v>48</v>
      </c>
      <c r="D21" s="11"/>
      <c r="E21" s="11"/>
      <c r="F21" s="11"/>
      <c r="G21" s="11" t="s">
        <v>43</v>
      </c>
      <c r="H21" s="11"/>
      <c r="I21" s="11">
        <v>3</v>
      </c>
    </row>
    <row r="22" spans="2:9" ht="15.75" customHeight="1" x14ac:dyDescent="0.4">
      <c r="B22" s="11" t="s">
        <v>50</v>
      </c>
      <c r="C22" s="11" t="s">
        <v>49</v>
      </c>
      <c r="G22" s="11" t="s">
        <v>43</v>
      </c>
      <c r="I22">
        <v>4</v>
      </c>
    </row>
    <row r="23" spans="2:9" ht="15.75" customHeight="1" x14ac:dyDescent="0.4"/>
    <row r="24" spans="2:9" ht="28.8" customHeight="1" x14ac:dyDescent="0.4">
      <c r="B24" s="27" t="s">
        <v>44</v>
      </c>
      <c r="C24" s="27" t="s">
        <v>42</v>
      </c>
      <c r="D24" s="27" t="s">
        <v>33</v>
      </c>
      <c r="E24" s="28" t="s">
        <v>45</v>
      </c>
      <c r="F24" s="28" t="s">
        <v>57</v>
      </c>
      <c r="G24" s="29"/>
      <c r="H24" s="27" t="s">
        <v>8</v>
      </c>
      <c r="I24" s="27" t="s">
        <v>58</v>
      </c>
    </row>
    <row r="25" spans="2:9" ht="15.75" customHeight="1" x14ac:dyDescent="0.4">
      <c r="B25" s="10"/>
      <c r="C25" s="12" t="s">
        <v>14</v>
      </c>
      <c r="D25" s="11"/>
      <c r="E25" s="11"/>
      <c r="F25" s="11"/>
      <c r="G25" s="12" t="s">
        <v>15</v>
      </c>
      <c r="H25" s="11"/>
      <c r="I25" s="13" t="s">
        <v>16</v>
      </c>
    </row>
    <row r="26" spans="2:9" ht="15.75" customHeight="1" x14ac:dyDescent="0.4">
      <c r="B26" s="11" t="s">
        <v>32</v>
      </c>
      <c r="C26" s="11" t="s">
        <v>72</v>
      </c>
      <c r="D26" s="11"/>
      <c r="E26" s="11"/>
      <c r="F26" s="11"/>
      <c r="G26" s="11" t="s">
        <v>64</v>
      </c>
      <c r="H26" s="11"/>
      <c r="I26" s="11">
        <v>3</v>
      </c>
    </row>
    <row r="27" spans="2:9" ht="15.75" customHeight="1" x14ac:dyDescent="0.4">
      <c r="B27" s="11" t="s">
        <v>50</v>
      </c>
      <c r="C27" s="11" t="s">
        <v>73</v>
      </c>
      <c r="G27" s="11" t="s">
        <v>64</v>
      </c>
      <c r="I27">
        <v>4</v>
      </c>
    </row>
    <row r="28" spans="2:9" ht="15.75" customHeight="1" x14ac:dyDescent="0.4"/>
    <row r="29" spans="2:9" ht="15.75" customHeight="1" x14ac:dyDescent="0.4"/>
    <row r="30" spans="2:9" ht="15.75" customHeight="1" x14ac:dyDescent="0.4"/>
    <row r="31" spans="2:9" ht="15.75" customHeight="1" x14ac:dyDescent="0.4"/>
    <row r="32" spans="2:9" ht="15.75" customHeight="1" x14ac:dyDescent="0.4"/>
    <row r="33" spans="2:9" ht="15.75" customHeight="1" x14ac:dyDescent="0.4">
      <c r="B33" t="s">
        <v>75</v>
      </c>
    </row>
    <row r="34" spans="2:9" ht="15.75" customHeight="1" x14ac:dyDescent="0.4"/>
    <row r="35" spans="2:9" ht="15.75" customHeight="1" x14ac:dyDescent="0.4">
      <c r="B35" s="1" t="s">
        <v>9</v>
      </c>
      <c r="C35" s="1" t="s">
        <v>0</v>
      </c>
      <c r="D35" s="1" t="s">
        <v>1</v>
      </c>
      <c r="E35" s="1" t="s">
        <v>10</v>
      </c>
      <c r="F35" s="1" t="s">
        <v>11</v>
      </c>
      <c r="G35" s="1" t="s">
        <v>4</v>
      </c>
      <c r="H35" s="1" t="s">
        <v>12</v>
      </c>
      <c r="I35" s="1" t="s">
        <v>13</v>
      </c>
    </row>
    <row r="36" spans="2:9" ht="34.5" customHeight="1" x14ac:dyDescent="0.4">
      <c r="B36" s="27" t="s">
        <v>85</v>
      </c>
      <c r="C36" s="27" t="s">
        <v>79</v>
      </c>
      <c r="D36" s="27" t="s">
        <v>33</v>
      </c>
      <c r="E36" s="27" t="s">
        <v>61</v>
      </c>
      <c r="F36" s="28" t="s">
        <v>82</v>
      </c>
      <c r="G36" s="29"/>
      <c r="H36" s="27" t="s">
        <v>8</v>
      </c>
      <c r="I36" s="27" t="s">
        <v>58</v>
      </c>
    </row>
    <row r="37" spans="2:9" ht="15.75" customHeight="1" x14ac:dyDescent="0.4">
      <c r="B37" s="10"/>
      <c r="C37" s="12" t="s">
        <v>14</v>
      </c>
      <c r="D37" s="10"/>
      <c r="E37" s="10"/>
      <c r="F37" s="10"/>
      <c r="G37" s="12" t="s">
        <v>15</v>
      </c>
      <c r="H37" s="10"/>
      <c r="I37" s="12" t="s">
        <v>16</v>
      </c>
    </row>
    <row r="38" spans="2:9" ht="15.75" customHeight="1" x14ac:dyDescent="0.4">
      <c r="B38" s="10" t="s">
        <v>89</v>
      </c>
      <c r="C38" s="10" t="s">
        <v>88</v>
      </c>
      <c r="D38" s="11"/>
      <c r="E38" s="11"/>
      <c r="F38" s="11"/>
      <c r="G38" s="10" t="s">
        <v>31</v>
      </c>
      <c r="H38" s="10"/>
      <c r="I38" s="13">
        <v>5</v>
      </c>
    </row>
    <row r="39" spans="2:9" ht="15.75" customHeight="1" x14ac:dyDescent="0.4">
      <c r="B39" s="10"/>
      <c r="C39" s="10"/>
      <c r="D39" s="11"/>
      <c r="E39" s="11"/>
      <c r="F39" s="11"/>
      <c r="G39" s="10"/>
      <c r="H39" s="10"/>
      <c r="I39" s="13"/>
    </row>
    <row r="40" spans="2:9" ht="35.700000000000003" customHeight="1" x14ac:dyDescent="0.4">
      <c r="B40" s="27" t="s">
        <v>86</v>
      </c>
      <c r="C40" s="27" t="s">
        <v>80</v>
      </c>
      <c r="D40" s="27" t="s">
        <v>33</v>
      </c>
      <c r="E40" s="28" t="s">
        <v>87</v>
      </c>
      <c r="F40" s="28" t="s">
        <v>83</v>
      </c>
      <c r="G40" s="29"/>
      <c r="H40" s="27" t="s">
        <v>8</v>
      </c>
      <c r="I40" s="27" t="s">
        <v>58</v>
      </c>
    </row>
    <row r="41" spans="2:9" ht="15.75" customHeight="1" x14ac:dyDescent="0.4">
      <c r="B41" s="10"/>
      <c r="C41" s="12" t="s">
        <v>14</v>
      </c>
      <c r="D41" s="11"/>
      <c r="E41" s="11"/>
      <c r="F41" s="11"/>
      <c r="G41" s="12" t="s">
        <v>15</v>
      </c>
      <c r="H41" s="11"/>
      <c r="I41" s="13" t="s">
        <v>16</v>
      </c>
    </row>
    <row r="42" spans="2:9" ht="15.75" customHeight="1" x14ac:dyDescent="0.4">
      <c r="B42" s="11" t="s">
        <v>91</v>
      </c>
      <c r="C42" s="11" t="s">
        <v>90</v>
      </c>
      <c r="D42" s="11"/>
      <c r="E42" s="11"/>
      <c r="F42" s="11"/>
      <c r="G42" s="11" t="s">
        <v>64</v>
      </c>
      <c r="H42" s="11"/>
      <c r="I42" s="11">
        <v>5</v>
      </c>
    </row>
    <row r="43" spans="2:9" ht="15.75" customHeight="1" x14ac:dyDescent="0.4">
      <c r="B43" s="11"/>
      <c r="C43" s="26"/>
      <c r="D43" s="26"/>
      <c r="E43" s="26"/>
      <c r="F43" s="26"/>
      <c r="G43" s="11"/>
      <c r="H43" s="11"/>
      <c r="I43" s="11"/>
    </row>
    <row r="44" spans="2:9" ht="15.75" customHeight="1" x14ac:dyDescent="0.4">
      <c r="B44" s="10"/>
      <c r="C44" s="12"/>
      <c r="D44" s="11"/>
      <c r="E44" s="11"/>
      <c r="F44" s="11"/>
      <c r="G44" s="12"/>
      <c r="H44" s="11"/>
      <c r="I44" s="13"/>
    </row>
    <row r="45" spans="2:9" ht="15.75" customHeight="1" x14ac:dyDescent="0.4">
      <c r="B45" s="11"/>
      <c r="C45" s="11"/>
      <c r="D45" s="11"/>
      <c r="E45" s="11"/>
      <c r="F45" s="11"/>
      <c r="G45" s="11"/>
      <c r="H45" s="11"/>
      <c r="I45" s="11"/>
    </row>
    <row r="46" spans="2:9" ht="15.75" customHeight="1" x14ac:dyDescent="0.4">
      <c r="B46" s="11"/>
      <c r="C46" s="11"/>
      <c r="G46" s="11"/>
    </row>
    <row r="47" spans="2:9" ht="15.75" customHeight="1" x14ac:dyDescent="0.4"/>
    <row r="48" spans="2:9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</sheetData>
  <mergeCells count="1">
    <mergeCell ref="C9:F9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86"/>
  <sheetViews>
    <sheetView zoomScale="75" zoomScaleNormal="58" workbookViewId="0">
      <selection activeCell="B34" sqref="B34"/>
    </sheetView>
  </sheetViews>
  <sheetFormatPr baseColWidth="10" defaultColWidth="12.5546875" defaultRowHeight="15" customHeight="1" x14ac:dyDescent="0.4"/>
  <cols>
    <col min="1" max="1" width="12.44140625" customWidth="1"/>
    <col min="2" max="2" width="24.5546875" customWidth="1"/>
    <col min="3" max="3" width="12.44140625" customWidth="1"/>
  </cols>
  <sheetData>
    <row r="1" spans="1:11" ht="15.75" customHeight="1" x14ac:dyDescent="0.4"/>
    <row r="2" spans="1:11" ht="15.75" customHeight="1" x14ac:dyDescent="0.4"/>
    <row r="3" spans="1:11" ht="15.75" customHeight="1" x14ac:dyDescent="0.4">
      <c r="B3" s="3"/>
      <c r="C3" s="3" t="s">
        <v>16</v>
      </c>
      <c r="D3" s="24" t="s">
        <v>36</v>
      </c>
      <c r="E3" s="24" t="s">
        <v>35</v>
      </c>
      <c r="F3" s="24" t="s">
        <v>21</v>
      </c>
      <c r="G3" s="24" t="s">
        <v>22</v>
      </c>
      <c r="H3" s="24" t="s">
        <v>23</v>
      </c>
      <c r="I3" s="24" t="s">
        <v>24</v>
      </c>
      <c r="J3" s="24" t="s">
        <v>25</v>
      </c>
      <c r="K3" s="3" t="s">
        <v>26</v>
      </c>
    </row>
    <row r="4" spans="1:11" ht="15.75" customHeight="1" x14ac:dyDescent="0.4">
      <c r="B4" s="2" t="s">
        <v>7</v>
      </c>
      <c r="C4" s="5">
        <v>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6"/>
    </row>
    <row r="5" spans="1:11" ht="15.75" customHeight="1" x14ac:dyDescent="0.4">
      <c r="B5" s="2" t="s">
        <v>7</v>
      </c>
      <c r="C5" s="5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6"/>
    </row>
    <row r="6" spans="1:11" ht="15.75" customHeight="1" x14ac:dyDescent="0.4">
      <c r="A6" s="3"/>
      <c r="B6" s="2" t="s">
        <v>7</v>
      </c>
      <c r="C6" s="5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6"/>
    </row>
    <row r="7" spans="1:11" ht="15.75" customHeight="1" x14ac:dyDescent="0.4"/>
    <row r="8" spans="1:11" ht="15.75" customHeight="1" x14ac:dyDescent="0.4">
      <c r="B8" s="2"/>
      <c r="C8" s="5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6"/>
    </row>
    <row r="9" spans="1:11" ht="15.75" customHeight="1" x14ac:dyDescent="0.4">
      <c r="B9" s="2"/>
      <c r="C9" s="5"/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6"/>
    </row>
    <row r="10" spans="1:11" ht="15.75" customHeight="1" x14ac:dyDescent="0.4"/>
    <row r="11" spans="1:11" ht="15.75" customHeight="1" x14ac:dyDescent="0.4">
      <c r="B11" s="2"/>
      <c r="C11" s="5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6"/>
    </row>
    <row r="12" spans="1:11" ht="15.75" customHeight="1" x14ac:dyDescent="0.4">
      <c r="B12" s="2"/>
      <c r="C12" s="5"/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6"/>
    </row>
    <row r="13" spans="1:11" ht="15.75" customHeight="1" x14ac:dyDescent="0.4">
      <c r="B13" s="2"/>
      <c r="C13" s="5"/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6"/>
    </row>
    <row r="14" spans="1:11" ht="15.75" customHeight="1" x14ac:dyDescent="0.4"/>
    <row r="15" spans="1:11" ht="15.75" customHeight="1" x14ac:dyDescent="0.4">
      <c r="B15" s="2"/>
      <c r="C15" s="5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6"/>
    </row>
    <row r="16" spans="1:11" ht="15.75" customHeight="1" x14ac:dyDescent="0.4">
      <c r="B16" s="2"/>
      <c r="C16" s="5"/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6"/>
    </row>
    <row r="17" spans="2:11" ht="15.75" customHeight="1" x14ac:dyDescent="0.4"/>
    <row r="18" spans="2:11" ht="15.75" customHeight="1" x14ac:dyDescent="0.4">
      <c r="B18" s="2"/>
      <c r="C18" s="5"/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6"/>
    </row>
    <row r="19" spans="2:11" ht="15.75" customHeight="1" x14ac:dyDescent="0.4">
      <c r="B19" s="2"/>
      <c r="C19" s="5"/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6"/>
    </row>
    <row r="20" spans="2:11" ht="15.75" customHeight="1" x14ac:dyDescent="0.4"/>
    <row r="21" spans="2:11" ht="15.75" customHeight="1" x14ac:dyDescent="0.4">
      <c r="B21" s="2"/>
      <c r="C21" s="5"/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6"/>
    </row>
    <row r="22" spans="2:11" ht="15.75" customHeight="1" x14ac:dyDescent="0.4">
      <c r="K22" s="22"/>
    </row>
    <row r="23" spans="2:11" ht="15.75" customHeight="1" x14ac:dyDescent="0.4">
      <c r="B23" s="2"/>
      <c r="C23" s="5"/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6"/>
    </row>
    <row r="24" spans="2:11" ht="15.75" customHeight="1" x14ac:dyDescent="0.4">
      <c r="B24" s="2"/>
      <c r="C24" s="5"/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6"/>
    </row>
    <row r="25" spans="2:11" ht="15.75" customHeight="1" x14ac:dyDescent="0.4">
      <c r="K25" s="22"/>
    </row>
    <row r="26" spans="2:11" ht="15.75" customHeight="1" x14ac:dyDescent="0.4">
      <c r="B26" s="2"/>
      <c r="C26" s="5"/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6"/>
    </row>
    <row r="27" spans="2:11" ht="15.75" customHeight="1" x14ac:dyDescent="0.4">
      <c r="K27" s="22"/>
    </row>
    <row r="28" spans="2:11" ht="15.75" customHeight="1" x14ac:dyDescent="0.4">
      <c r="B28" s="7" t="s">
        <v>27</v>
      </c>
      <c r="C28">
        <f>SUM(C4:C26)</f>
        <v>12</v>
      </c>
      <c r="D28" s="3" t="e">
        <f>#REF!-SUM(D4:D6,D8:D9,D11:D13,D15:D16, D18:D19, D21, D23,D24,D26)</f>
        <v>#REF!</v>
      </c>
      <c r="E28" s="3" t="e">
        <f t="shared" ref="E28:I28" si="0">D28-SUM(E4:E6,E8:E9,E11:E13,E15:E16, E18:E19, E21, E23,E24,E26)</f>
        <v>#REF!</v>
      </c>
      <c r="F28" s="3" t="e">
        <f t="shared" si="0"/>
        <v>#REF!</v>
      </c>
      <c r="G28" s="3" t="e">
        <f t="shared" si="0"/>
        <v>#REF!</v>
      </c>
      <c r="H28" s="3" t="e">
        <f t="shared" si="0"/>
        <v>#REF!</v>
      </c>
      <c r="I28" s="3" t="e">
        <f t="shared" si="0"/>
        <v>#REF!</v>
      </c>
      <c r="J28" s="3" t="e">
        <f>I28-SUM(J4:J6,J8:J9,J11:J13,J15:J16, J18:J19, J21, J23,J24,J26)</f>
        <v>#REF!</v>
      </c>
      <c r="K28" s="6" t="e">
        <f>SUM(D28:J28)</f>
        <v>#REF!</v>
      </c>
    </row>
    <row r="29" spans="2:11" ht="15.75" customHeight="1" x14ac:dyDescent="0.4">
      <c r="B29" s="7" t="s">
        <v>28</v>
      </c>
      <c r="C29">
        <f>SUM(C4:C26)</f>
        <v>12</v>
      </c>
      <c r="D29" s="21" t="e">
        <f>#REF!-(SUM($C$4:$C$6,$C$8:$C$9,$C$11:$C$13,$C$15:$C$16,$C$18:$C$19:$C$21,$C23:$C24, $C26)/30)</f>
        <v>#REF!</v>
      </c>
      <c r="E29" s="21" t="e">
        <f>D29-(SUM($C$4:$C$6,$C$8:$C$9,$C$11:$C$13,$C$15:$C$16,$C$18:$C$19:$C$21,$C23:$C24, $C26)/30)</f>
        <v>#REF!</v>
      </c>
      <c r="F29" s="21" t="e">
        <f>E29-(SUM($C$4:$C$6,$C$8:$C$9,$C$11:$C$13,$C$15:$C$16,$C$18:$C$19:$C$21,$C23:$C24, $C26)/30)</f>
        <v>#REF!</v>
      </c>
      <c r="G29" s="21" t="e">
        <f>F29-(SUM($C$4:$C$6,$C$8:$C$9,$C$11:$C$13,$C$15:$C$16,$C$18:$C$19:$C$21,$C23:$C24, $C26)/30)</f>
        <v>#REF!</v>
      </c>
      <c r="H29" s="21" t="e">
        <f>G29-(SUM($C$4:$C$6,$C$8:$C$9,$C$11:$C$13,$C$15:$C$16,$C$18:$C$19:$C$21,$C23:$C24, $C26)/30)</f>
        <v>#REF!</v>
      </c>
      <c r="I29" s="21" t="e">
        <f>H29-(SUM($C$4:$C$6,$C$8:$C$9,$C$11:$C$13,$C$15:$C$16,$C$18:$C$19:$C$21,$C23:$C24, $C26)/30)</f>
        <v>#REF!</v>
      </c>
      <c r="J29" s="21" t="e">
        <f>I29-(SUM($C$4:$C$6,$C$8:$C$9,$C$11:$C$13,$C$15:$C$16,$C$18:$C$19:$C$21,$C23:$C24, $C26)/30)</f>
        <v>#REF!</v>
      </c>
      <c r="K29" s="6" t="e">
        <f>SUM(D29:J29)</f>
        <v>#REF!</v>
      </c>
    </row>
    <row r="30" spans="2:11" ht="15.75" customHeight="1" x14ac:dyDescent="0.4"/>
    <row r="31" spans="2:11" ht="15.75" customHeight="1" x14ac:dyDescent="0.4"/>
    <row r="32" spans="2:11" ht="15.75" customHeight="1" x14ac:dyDescent="0.4"/>
    <row r="33" spans="2:3" ht="15.75" customHeight="1" x14ac:dyDescent="0.4">
      <c r="B33" s="16"/>
      <c r="C33" s="3"/>
    </row>
    <row r="34" spans="2:3" ht="15.75" customHeight="1" x14ac:dyDescent="0.4"/>
    <row r="35" spans="2:3" ht="15.75" customHeight="1" x14ac:dyDescent="0.4">
      <c r="B35" s="16"/>
      <c r="C35" s="3"/>
    </row>
    <row r="36" spans="2:3" ht="15.75" customHeight="1" x14ac:dyDescent="0.4">
      <c r="B36" s="16"/>
      <c r="C36" s="3"/>
    </row>
    <row r="37" spans="2:3" ht="15.75" customHeight="1" x14ac:dyDescent="0.4"/>
    <row r="38" spans="2:3" ht="15.75" customHeight="1" x14ac:dyDescent="0.4">
      <c r="B38" s="23"/>
      <c r="C38" s="23"/>
    </row>
    <row r="39" spans="2:3" ht="15.75" customHeight="1" x14ac:dyDescent="0.4">
      <c r="B39" s="23"/>
      <c r="C39" s="23"/>
    </row>
    <row r="40" spans="2:3" ht="15.75" customHeight="1" x14ac:dyDescent="0.4">
      <c r="B40" s="23"/>
      <c r="C40" s="23"/>
    </row>
    <row r="41" spans="2:3" ht="15.75" customHeight="1" x14ac:dyDescent="0.4">
      <c r="B41" s="23"/>
      <c r="C41" s="23"/>
    </row>
    <row r="42" spans="2:3" ht="15.75" customHeight="1" x14ac:dyDescent="0.4">
      <c r="B42" s="23"/>
      <c r="C42" s="23"/>
    </row>
    <row r="43" spans="2:3" ht="15.75" customHeight="1" x14ac:dyDescent="0.4">
      <c r="B43" s="23"/>
      <c r="C43" s="23"/>
    </row>
    <row r="44" spans="2:3" ht="15.75" customHeight="1" x14ac:dyDescent="0.4">
      <c r="B44" s="23"/>
      <c r="C44" s="23"/>
    </row>
    <row r="45" spans="2:3" ht="15.75" customHeight="1" x14ac:dyDescent="0.4">
      <c r="B45" s="23"/>
      <c r="C45" s="23"/>
    </row>
    <row r="46" spans="2:3" ht="15.75" customHeight="1" x14ac:dyDescent="0.4"/>
    <row r="47" spans="2:3" ht="15.75" customHeight="1" x14ac:dyDescent="0.4"/>
    <row r="48" spans="2:3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</sheetData>
  <phoneticPr fontId="4" type="noConversion"/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Benjamin López</cp:lastModifiedBy>
  <dcterms:created xsi:type="dcterms:W3CDTF">2023-06-05T13:12:31Z</dcterms:created>
  <dcterms:modified xsi:type="dcterms:W3CDTF">2025-12-15T17:03:16Z</dcterms:modified>
</cp:coreProperties>
</file>